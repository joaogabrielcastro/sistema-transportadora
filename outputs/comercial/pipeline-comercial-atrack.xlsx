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a2d8c6012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2a459cf8b7d4f18"/>
    <x:sheet xmlns:r="http://schemas.openxmlformats.org/officeDocument/2006/relationships" name="Funil" sheetId="2" r:id="R90005d4a0ab2406c"/>
    <x:sheet xmlns:r="http://schemas.openxmlformats.org/officeDocument/2006/relationships" name="Listas" sheetId="3" r:id="R0ef2cca05308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R$ #,##0"/>
    <x:numFmt numFmtId="202" formatCode="dd/mm/yyyy"/>
    <x:numFmt numFmtId="203" formatCode="#,##0"/>
  </x:numFmts>
  <x:fonts count="11">
    <x:font>
      <x:sz val="11"/>
      <x:name val="Carlito"/>
    </x:font>
    <x:font>
      <x:b/>
      <x:sz val="11"/>
      <x:color rgb="FFFFFFFF"/>
      <x:name val="Arial"/>
    </x:font>
    <x:font>
      <x:sz val="10"/>
      <x:color rgb="FF172033"/>
      <x:name val="Arial"/>
    </x:font>
    <x:font>
      <x:b/>
      <x:sz val="18"/>
      <x:color rgb="FF0B1730"/>
      <x:name val="Arial"/>
    </x:font>
    <x:font>
      <x:i/>
      <x:sz val="10"/>
      <x:color rgb="FF5B6B82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sz val="11"/>
      <x:color rgb="FF172033"/>
      <x:name val="Arial"/>
    </x:font>
    <x:font>
      <x:b/>
      <x:sz val="12"/>
      <x:color rgb="FF0B1730"/>
      <x:name val="Arial"/>
    </x:font>
    <x:font>
      <x:b/>
      <x:sz val="11"/>
      <x:color rgb="FF0B1730"/>
      <x:name val="Arial"/>
    </x:font>
    <x:font>
      <x:sz val="10"/>
      <x:color rgb="FF5B6B8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1730"/>
      </x:patternFill>
    </x:fill>
    <x:fill>
      <x:patternFill patternType="solid">
        <x:fgColor rgb="FFFFF8D6"/>
      </x:patternFill>
    </x:fill>
    <x:fill>
      <x:patternFill patternType="solid">
        <x:fgColor rgb="FFF4F7FA"/>
      </x:patternFill>
    </x:fill>
    <x:fill>
      <x:patternFill patternType="solid">
        <x:fgColor rgb="FFE6F7FB"/>
      </x:patternFill>
    </x:fill>
    <x:fill>
      <x:patternFill patternType="solid">
        <x:fgColor rgb="FF0891B2"/>
      </x:patternFill>
    </x:fill>
    <x:fill>
      <x:patternFill patternType="solid">
        <x:fgColor rgb="FFEAF1FF"/>
      </x:patternFill>
    </x:fill>
  </x:fills>
  <x:borders count="16">
    <x:border/>
    <x:border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bottom style="thin">
        <x:color rgb="FFD7E0EA"/>
      </x:bottom>
    </x:border>
    <x:border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top style="thin">
        <x:color rgb="FFD7E0EA"/>
      </x:top>
      <x:bottom style="thin">
        <x:color rgb="FFD7E0EA"/>
      </x:bottom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  <x:right style="thin">
        <x:color rgb="FFD7E0EA"/>
      </x:right>
      <x:top style="thin">
        <x:color rgb="FFD7E0EA"/>
      </x:top>
    </x:border>
    <x:border>
      <x:left style="thin">
        <x:color rgb="FFD7E0EA"/>
      </x:left>
      <x:top style="thin">
        <x:color rgb="FFD7E0EA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7E0EA"/>
      </x:bottom>
    </x:border>
    <x:border>
      <x:top style="thin">
        <x:color rgb="FFD7E0EA"/>
      </x:top>
      <x:bottom style="thin">
        <x:color rgb="FFD7E0EA"/>
      </x:bottom>
    </x:border>
    <x:border>
      <x:top style="thin">
        <x:color rgb="FFD7E0EA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/>
    <x:xf numFmtId="200" fontId="2" fillId="0" borderId="5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horizontal="center" wrapText="1"/>
    </x:xf>
    <x:xf numFmtId="0" fontId="5" fillId="2" borderId="11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0" fontId="2" fillId="4" borderId="13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vertical="center"/>
    </x:xf>
    <x:xf numFmtId="0" fontId="2" fillId="4" borderId="14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vertical="center"/>
    </x:xf>
    <x:xf numFmtId="0" fontId="2" fillId="4" borderId="15" xfId="0" applyNumberFormat="1" applyFont="1" applyFill="1" applyBorder="1" applyAlignment="1">
      <x:alignment vertical="center"/>
    </x:xf>
    <x:xf numFmtId="201" fontId="2" fillId="3" borderId="13" xfId="0" applyNumberFormat="1" applyFont="1" applyFill="1" applyBorder="1" applyAlignment="1">
      <x:alignment vertical="center"/>
    </x:xf>
    <x:xf numFmtId="201" fontId="2" fillId="4" borderId="13" xfId="0" applyNumberFormat="1" applyFont="1" applyFill="1" applyBorder="1" applyAlignment="1">
      <x:alignment vertical="center"/>
    </x:xf>
    <x:xf numFmtId="201" fontId="2" fillId="3" borderId="14" xfId="0" applyNumberFormat="1" applyFont="1" applyFill="1" applyBorder="1" applyAlignment="1">
      <x:alignment vertical="center"/>
    </x:xf>
    <x:xf numFmtId="201" fontId="2" fillId="4" borderId="14" xfId="0" applyNumberFormat="1" applyFont="1" applyFill="1" applyBorder="1" applyAlignment="1">
      <x:alignment vertical="center"/>
    </x:xf>
    <x:xf numFmtId="201" fontId="2" fillId="3" borderId="15" xfId="0" applyNumberFormat="1" applyFont="1" applyFill="1" applyBorder="1" applyAlignment="1">
      <x:alignment vertical="center"/>
    </x:xf>
    <x:xf numFmtId="201" fontId="2" fillId="4" borderId="15" xfId="0" applyNumberFormat="1" applyFont="1" applyFill="1" applyBorder="1" applyAlignment="1">
      <x:alignment vertical="center"/>
    </x:xf>
    <x:xf numFmtId="200" fontId="2" fillId="4" borderId="13" xfId="0" applyNumberFormat="1" applyFont="1" applyFill="1" applyBorder="1" applyAlignment="1">
      <x:alignment vertical="center"/>
    </x:xf>
    <x:xf numFmtId="200" fontId="2" fillId="4" borderId="14" xfId="0" applyNumberFormat="1" applyFont="1" applyFill="1" applyBorder="1" applyAlignment="1">
      <x:alignment vertical="center"/>
    </x:xf>
    <x:xf numFmtId="200" fontId="2" fillId="4" borderId="15" xfId="0" applyNumberFormat="1" applyFont="1" applyFill="1" applyBorder="1" applyAlignment="1">
      <x:alignment vertical="center"/>
    </x:xf>
    <x:xf numFmtId="202" fontId="2" fillId="3" borderId="13" xfId="0" applyNumberFormat="1" applyFont="1" applyFill="1" applyBorder="1" applyAlignment="1">
      <x:alignment vertical="center"/>
    </x:xf>
    <x:xf numFmtId="202" fontId="2" fillId="3" borderId="14" xfId="0" applyNumberFormat="1" applyFont="1" applyFill="1" applyBorder="1" applyAlignment="1">
      <x:alignment vertical="center"/>
    </x:xf>
    <x:xf numFmtId="202" fontId="2" fillId="3" borderId="15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6" fillId="3" borderId="14" xfId="0" applyNumberFormat="1" applyFont="1" applyFill="1" applyBorder="1" applyAlignment="1">
      <x:alignment vertical="center"/>
    </x:xf>
    <x:xf numFmtId="0" fontId="6" fillId="3" borderId="15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 wrapText="1"/>
    </x:xf>
    <x:xf numFmtId="202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202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202" fontId="2" fillId="3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203" fontId="7" fillId="0" borderId="13" xfId="0" applyNumberFormat="1" applyFont="1" applyFill="1" applyBorder="1"/>
    <x:xf numFmtId="203" fontId="7" fillId="0" borderId="14" xfId="0" applyNumberFormat="1" applyFont="1" applyFill="1" applyBorder="1"/>
    <x:xf numFmtId="201" fontId="7" fillId="0" borderId="14" xfId="0" applyNumberFormat="1" applyFont="1" applyFill="1" applyBorder="1"/>
    <x:xf numFmtId="201" fontId="7" fillId="0" borderId="15" xfId="0" applyNumberFormat="1" applyFont="1" applyFill="1" applyBorder="1"/>
    <x:xf numFmtId="203" fontId="7" fillId="5" borderId="13" xfId="0" applyNumberFormat="1" applyFont="1" applyFill="1" applyBorder="1"/>
    <x:xf numFmtId="203" fontId="7" fillId="5" borderId="14" xfId="0" applyNumberFormat="1" applyFont="1" applyFill="1" applyBorder="1"/>
    <x:xf numFmtId="201" fontId="7" fillId="5" borderId="14" xfId="0" applyNumberFormat="1" applyFont="1" applyFill="1" applyBorder="1"/>
    <x:xf numFmtId="201" fontId="7" fillId="5" borderId="15" xfId="0" applyNumberFormat="1" applyFont="1" applyFill="1" applyBorder="1"/>
    <x:xf numFmtId="203" fontId="8" fillId="5" borderId="13" xfId="0" applyNumberFormat="1" applyFont="1" applyFill="1" applyBorder="1"/>
    <x:xf numFmtId="203" fontId="8" fillId="5" borderId="14" xfId="0" applyNumberFormat="1" applyFont="1" applyFill="1" applyBorder="1"/>
    <x:xf numFmtId="201" fontId="8" fillId="5" borderId="14" xfId="0" applyNumberFormat="1" applyFont="1" applyFill="1" applyBorder="1"/>
    <x:xf numFmtId="201" fontId="8" fillId="5" borderId="15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203" fontId="2" fillId="0" borderId="13" xfId="0" applyNumberFormat="1" applyFont="1" applyFill="1" applyBorder="1"/>
    <x:xf numFmtId="203" fontId="2" fillId="0" borderId="14" xfId="0" applyNumberFormat="1" applyFont="1" applyFill="1" applyBorder="1"/>
    <x:xf numFmtId="203" fontId="2" fillId="0" borderId="15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69f86581d44d3" /><Relationship Type="http://schemas.openxmlformats.org/officeDocument/2006/relationships/theme" Target="/xl/theme/theme1.xml" Id="Re5e7d655927a4f5a" /><Relationship Type="http://schemas.openxmlformats.org/officeDocument/2006/relationships/sharedStrings" Target="/xl/sharedStrings.xml" Id="Re227cb741b60411e" /><Relationship Type="http://schemas.openxmlformats.org/officeDocument/2006/relationships/worksheet" Target="/xl/worksheets/sheet1.xml" Id="R62a459cf8b7d4f18" /><Relationship Type="http://schemas.openxmlformats.org/officeDocument/2006/relationships/worksheet" Target="/xl/worksheets/sheet2.xml" Id="R90005d4a0ab2406c" /><Relationship Type="http://schemas.openxmlformats.org/officeDocument/2006/relationships/worksheet" Target="/xl/worksheets/sheet3.xml" Id="R0ef2cca0530846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aa9de83ed54d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Leads por etapa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'Resumo'!$D$5:$D$11</c:f>
              <c:strCache>
                <c:ptCount val="0"/>
              </c:strCache>
            </c:strRef>
          </c:cat>
          <c:val>
            <c:numRef>
              <c:f>'Resumo'!$E$5:$E$11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aa9de83ed54d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ilComercial" displayName="FunilComercial" ref="A5:V205" headerRowCount="1" totalsRowCount="0" totalsRowShown="0">
  <x:tableColumns count="22">
    <x:tableColumn id="1" name="ID"/>
    <x:tableColumn id="2" name="Empresa"/>
    <x:tableColumn id="3" name="Contato"/>
    <x:tableColumn id="4" name="Telefone / WhatsApp"/>
    <x:tableColumn id="5" name="E-mail"/>
    <x:tableColumn id="6" name="Cidade / UF"/>
    <x:tableColumn id="7" name="Origem"/>
    <x:tableColumn id="8" name="Etapa"/>
    <x:tableColumn id="9" name="Plano provável"/>
    <x:tableColumn id="10" name="Veículos"/>
    <x:tableColumn id="11" name="Usuários"/>
    <x:tableColumn id="12" name="Fiscal?"/>
    <x:tableColumn id="13" name="Implantação estimada"/>
    <x:tableColumn id="14" name="MRR estimado"/>
    <x:tableColumn id="15" name="Probabilidade"/>
    <x:tableColumn id="16" name="MRR ponderado"/>
    <x:tableColumn id="17" name="Próxima ação"/>
    <x:tableColumn id="18" name="Data da próxima ação"/>
    <x:tableColumn id="19" name="Último contato"/>
    <x:tableColumn id="20" name="Responsável"/>
    <x:tableColumn id="21" name="Motivo da perda"/>
    <x:tableColumn id="22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8ef4c2fd584d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595fdca0d42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4" max="4" width="19" hidden="0" customWidth="1"/>
    <x:col min="5" max="5" width="14" hidden="0" customWidth="1"/>
    <x:col min="7" max="7" width="15" hidden="0" customWidth="1"/>
    <x:col min="8" max="8" width="15" hidden="0" customWidth="1"/>
  </x:cols>
  <x:sheetData>
    <x:row r="1" ht="30" customHeight="1">
      <x:c r="A1" s="16" t="str">
        <x:v>Resumo comercial ATrack</x:v>
      </x:c>
    </x:row>
    <x:row r="2" ht="22" customHeight="1">
      <x:c r="A2" s="17" t="str">
        <x:v>Os indicadores usam os registros da aba Funil. Valores são estimativas comerciais, não faturamento realizado.</x:v>
      </x:c>
    </x:row>
    <x:row r="4">
      <x:c r="A4" s="64" t="str">
        <x:v>Indicador</x:v>
      </x:c>
      <x:c r="B4" s="64" t="str">
        <x:v>Valor</x:v>
      </x:c>
      <x:c r="D4" s="83" t="str">
        <x:v>Etapa</x:v>
      </x:c>
      <x:c r="E4" s="83" t="str">
        <x:v>Quantidade</x:v>
      </x:c>
    </x:row>
    <x:row r="5">
      <x:c r="A5" s="66" t="str">
        <x:v>Leads cadastrados</x:v>
      </x:c>
      <x:c r="B5" s="77" t="n">
        <x:f>COUNTA(Funil!B6:B205)</x:f>
        <x:v>3</x:v>
      </x:c>
      <x:c r="D5" s="84" t="str">
        <x:v>Novo</x:v>
      </x:c>
      <x:c r="E5" s="87" t="n">
        <x:f>COUNTIF(Funil!$H$6:$H$205,D5)</x:f>
        <x:v>0</x:v>
      </x:c>
    </x:row>
    <x:row r="6">
      <x:c r="A6" s="67" t="str">
        <x:v>Leads ativos</x:v>
      </x:c>
      <x:c r="B6" s="78" t="n">
        <x:f>COUNTIFS(Funil!B6:B205,"&lt;&gt;",Funil!H6:H205,"&lt;&gt;Ganho",Funil!H6:H205,"&lt;&gt;Perdido")</x:f>
        <x:v>3</x:v>
      </x:c>
      <x:c r="D6" s="85" t="str">
        <x:v>Qualificado</x:v>
      </x:c>
      <x:c r="E6" s="88" t="n">
        <x:f>COUNTIF(Funil!$H$6:$H$205,D6)</x:f>
        <x:v>1</x:v>
      </x:c>
    </x:row>
    <x:row r="7">
      <x:c r="A7" s="67" t="str">
        <x:v>Demonstrações ou mais</x:v>
      </x:c>
      <x:c r="B7" s="78" t="n">
        <x:f>COUNTIF(Funil!H6:H205,"Demonstração")+COUNTIF(Funil!H6:H205,"Proposta")+COUNTIF(Funil!H6:H205,"Negociação")+COUNTIF(Funil!H6:H205,"Ganho")</x:f>
        <x:v>2</x:v>
      </x:c>
      <x:c r="D7" s="85" t="str">
        <x:v>Demonstração</x:v>
      </x:c>
      <x:c r="E7" s="88" t="n">
        <x:f>COUNTIF(Funil!$H$6:$H$205,D7)</x:f>
        <x:v>1</x:v>
      </x:c>
    </x:row>
    <x:row r="8">
      <x:c r="A8" s="67" t="str">
        <x:v>Propostas ou negociação</x:v>
      </x:c>
      <x:c r="B8" s="78" t="n">
        <x:f>COUNTIF(Funil!H6:H205,"Proposta")+COUNTIF(Funil!H6:H205,"Negociação")</x:f>
        <x:v>1</x:v>
      </x:c>
      <x:c r="D8" s="85" t="str">
        <x:v>Proposta</x:v>
      </x:c>
      <x:c r="E8" s="88" t="n">
        <x:f>COUNTIF(Funil!$H$6:$H$205,D8)</x:f>
        <x:v>1</x:v>
      </x:c>
    </x:row>
    <x:row r="9">
      <x:c r="A9" s="67" t="str">
        <x:v>MRR estimado ativo (R$)</x:v>
      </x:c>
      <x:c r="B9" s="79" t="n">
        <x:f>SUMIFS(Funil!N6:N205,Funil!H6:H205,"&lt;&gt;Ganho",Funil!H6:H205,"&lt;&gt;Perdido")</x:f>
        <x:v>1397</x:v>
      </x:c>
      <x:c r="D9" s="85" t="str">
        <x:v>Negociação</x:v>
      </x:c>
      <x:c r="E9" s="88" t="n">
        <x:f>COUNTIF(Funil!$H$6:$H$205,D9)</x:f>
        <x:v>0</x:v>
      </x:c>
    </x:row>
    <x:row r="10">
      <x:c r="A10" s="68" t="str">
        <x:v>MRR ponderado ativo (R$)</x:v>
      </x:c>
      <x:c r="B10" s="80" t="n">
        <x:f>ROUND(SUMIFS(Funil!P6:P205,Funil!H6:H205,"&lt;&gt;Ganho",Funil!H6:H205,"&lt;&gt;Perdido"),0)</x:f>
        <x:v>764</x:v>
      </x:c>
      <x:c r="D10" s="85" t="str">
        <x:v>Ganho</x:v>
      </x:c>
      <x:c r="E10" s="88" t="n">
        <x:f>COUNTIF(Funil!$H$6:$H$205,D10)</x:f>
        <x:v>0</x:v>
      </x:c>
    </x:row>
    <x:row r="11">
      <x:c r="D11" s="86" t="str">
        <x:v>Perdido</x:v>
      </x:c>
      <x:c r="E11" s="89" t="n">
        <x:f>COUNTIF(Funil!$H$6:$H$205,D11)</x:f>
        <x:v>0</x:v>
      </x:c>
    </x:row>
    <x:row r="13">
      <x:c r="A13" s="91" t="str">
        <x:v>Como usar</x:v>
      </x:c>
    </x:row>
    <x:row r="14" ht="22" customHeight="1">
      <x:c r="A14" s="92" t="str">
        <x:v>1. Substitua os três registros de exemplo na aba Funil pelos seus prospects.</x:v>
      </x:c>
      <x:c r="B14" s="92"/>
      <x:c r="C14" s="92"/>
      <x:c r="D14" s="92"/>
      <x:c r="E14" s="92"/>
      <x:c r="F14" s="92"/>
      <x:c r="G14" s="92"/>
      <x:c r="H14" s="92"/>
    </x:row>
    <x:row r="15" ht="22" customHeight="1">
      <x:c r="A15" s="92" t="str">
        <x:v>2. Mantenha sempre uma próxima ação com data para cada lead ativo.</x:v>
      </x:c>
      <x:c r="B15" s="92"/>
      <x:c r="C15" s="92"/>
      <x:c r="D15" s="92"/>
      <x:c r="E15" s="92"/>
      <x:c r="F15" s="92"/>
      <x:c r="G15" s="92"/>
      <x:c r="H15" s="92"/>
    </x:row>
    <x:row r="16" ht="22" customHeight="1">
      <x:c r="A16" s="92" t="str">
        <x:v>3. Use MRR para a mensalidade e Implantação para o serviço inicial.</x:v>
      </x:c>
      <x:c r="B16" s="92"/>
      <x:c r="C16" s="92"/>
      <x:c r="D16" s="92"/>
      <x:c r="E16" s="92"/>
      <x:c r="F16" s="92"/>
      <x:c r="G16" s="92"/>
      <x:c r="H16" s="92"/>
    </x:row>
    <x:row r="17" ht="22" customHeight="1">
      <x:c r="A17" s="92" t="str">
        <x:v>4. Marque Perdido e registre o motivo para aprender com as oportunidades.</x:v>
      </x:c>
      <x:c r="B17" s="92"/>
      <x:c r="C17" s="92"/>
      <x:c r="D17" s="92"/>
      <x:c r="E17" s="92"/>
      <x:c r="F17" s="92"/>
      <x:c r="G17" s="92"/>
      <x:c r="H17" s="92"/>
    </x:row>
  </x:sheetData>
  <x:mergeCells>
    <x:mergeCell ref="A1:H1"/>
    <x:mergeCell ref="A2:H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7c8ef4c2fd584dc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20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1" hidden="0" customWidth="1"/>
    <x:col min="11" max="11" width="10" hidden="0" customWidth="1"/>
    <x:col min="12" max="12" width="11" hidden="0" customWidth="1"/>
    <x:col min="13" max="13" width="20" hidden="0" customWidth="1"/>
    <x:col min="14" max="14" width="16" hidden="0" customWidth="1"/>
    <x:col min="15" max="15" width="14" hidden="0" customWidth="1"/>
    <x:col min="16" max="16" width="18" hidden="0" customWidth="1"/>
    <x:col min="17" max="17" width="34" hidden="0" customWidth="1"/>
    <x:col min="18" max="18" width="21" hidden="0" customWidth="1"/>
    <x:col min="19" max="19" width="17" hidden="0" customWidth="1"/>
    <x:col min="20" max="20" width="18" hidden="0" customWidth="1"/>
    <x:col min="21" max="21" width="22" hidden="0" customWidth="1"/>
    <x:col min="22" max="22" width="38" hidden="0" customWidth="1"/>
  </x:cols>
  <x:sheetData>
    <x:row r="1" ht="30" customHeight="1">
      <x:c r="A1" s="16" t="str">
        <x:v>Funil comercial ATrack</x:v>
      </x:c>
    </x:row>
    <x:row r="2" ht="22" customHeight="1">
      <x:c r="A2" s="17" t="str">
        <x:v>Atualize as células amarelas. Probabilidade e valor ponderado são calculados pela etapa.</x:v>
      </x:c>
    </x:row>
    <x:row r="5" ht="34" customHeight="1">
      <x:c r="A5" s="28" t="str">
        <x:v>ID</x:v>
      </x:c>
      <x:c r="B5" s="29" t="str">
        <x:v>Empresa</x:v>
      </x:c>
      <x:c r="C5" s="29" t="str">
        <x:v>Contato</x:v>
      </x:c>
      <x:c r="D5" s="29" t="str">
        <x:v>Telefone / WhatsApp</x:v>
      </x:c>
      <x:c r="E5" s="29" t="str">
        <x:v>E-mail</x:v>
      </x:c>
      <x:c r="F5" s="29" t="str">
        <x:v>Cidade / UF</x:v>
      </x:c>
      <x:c r="G5" s="29" t="str">
        <x:v>Origem</x:v>
      </x:c>
      <x:c r="H5" s="29" t="str">
        <x:v>Etapa</x:v>
      </x:c>
      <x:c r="I5" s="29" t="str">
        <x:v>Plano provável</x:v>
      </x:c>
      <x:c r="J5" s="29" t="str">
        <x:v>Veículos</x:v>
      </x:c>
      <x:c r="K5" s="29" t="str">
        <x:v>Usuários</x:v>
      </x:c>
      <x:c r="L5" s="29" t="str">
        <x:v>Fiscal?</x:v>
      </x:c>
      <x:c r="M5" s="29" t="str">
        <x:v>Implantação estimada</x:v>
      </x:c>
      <x:c r="N5" s="29" t="str">
        <x:v>MRR estimado</x:v>
      </x:c>
      <x:c r="O5" s="29" t="str">
        <x:v>Probabilidade</x:v>
      </x:c>
      <x:c r="P5" s="29" t="str">
        <x:v>MRR ponderado</x:v>
      </x:c>
      <x:c r="Q5" s="29" t="str">
        <x:v>Próxima ação</x:v>
      </x:c>
      <x:c r="R5" s="29" t="str">
        <x:v>Data da próxima ação</x:v>
      </x:c>
      <x:c r="S5" s="29" t="str">
        <x:v>Último contato</x:v>
      </x:c>
      <x:c r="T5" s="29" t="str">
        <x:v>Responsável</x:v>
      </x:c>
      <x:c r="U5" s="29" t="str">
        <x:v>Motivo da perda</x:v>
      </x:c>
      <x:c r="V5" s="30" t="str">
        <x:v>Observações</x:v>
      </x:c>
    </x:row>
    <x:row r="6">
      <x:c r="A6" s="37" t="str">
        <x:v>L-001</x:v>
      </x:c>
      <x:c r="B6" s="55" t="str">
        <x:v>Exemplo Transportes Serra</x:v>
      </x:c>
      <x:c r="C6" s="37" t="str">
        <x:v>Mariana</x:v>
      </x:c>
      <x:c r="D6" s="37" t="str">
        <x:v>(11) 99999-0001</x:v>
      </x:c>
      <x:c r="E6" s="37" t="str">
        <x:v>mariana@exemplo.com</x:v>
      </x:c>
      <x:c r="F6" s="37" t="str">
        <x:v>São Paulo / SP</x:v>
      </x:c>
      <x:c r="G6" s="37" t="str">
        <x:v>Indicação</x:v>
      </x:c>
      <x:c r="H6" s="37" t="str">
        <x:v>Demonstração</x:v>
      </x:c>
      <x:c r="I6" s="37" t="str">
        <x:v>Fiscal</x:v>
      </x:c>
      <x:c r="J6" s="37" t="n">
        <x:v>18</x:v>
      </x:c>
      <x:c r="K6" s="37" t="n">
        <x:v>5</x:v>
      </x:c>
      <x:c r="L6" s="37" t="str">
        <x:v>Sim</x:v>
      </x:c>
      <x:c r="M6" s="43" t="n">
        <x:v>2200</x:v>
      </x:c>
      <x:c r="N6" s="43" t="n">
        <x:v>499</x:v>
      </x:c>
      <x:c r="O6" s="49" t="n">
        <x:f>IF(H6="Novo",10%,IF(H6="Qualificado",25%,IF(H6="Demonstração",45%,IF(H6="Proposta",70%,IF(H6="Negociação",85%,IF(H6="Ganho",100%,0%))))))</x:f>
        <x:v>0.45</x:v>
      </x:c>
      <x:c r="P6" s="44" t="n">
        <x:f>IF(OR(N6="",O6=""),"",N6*O6)</x:f>
        <x:v>224.55</x:v>
      </x:c>
      <x:c r="Q6" s="58" t="str">
        <x:v>Enviar proposta com implantação fiscal</x:v>
      </x:c>
      <x:c r="R6" s="59" t="n">
        <x:v>46310</x:v>
      </x:c>
      <x:c r="S6" s="59" t="n">
        <x:v>46303</x:v>
      </x:c>
      <x:c r="T6" s="58" t="str">
        <x:v>João</x:v>
      </x:c>
      <x:c r="U6" s="58" t="str"/>
      <x:c r="V6" s="58" t="str">
        <x:v>Dados fictícios para demonstrar o modelo.</x:v>
      </x:c>
    </x:row>
    <x:row r="7">
      <x:c r="A7" s="39" t="str">
        <x:v>L-002</x:v>
      </x:c>
      <x:c r="B7" s="56" t="str">
        <x:v>Exemplo Logística Vale</x:v>
      </x:c>
      <x:c r="C7" s="39" t="str">
        <x:v>Carlos</x:v>
      </x:c>
      <x:c r="D7" s="39" t="str">
        <x:v>(41) 99999-0002</x:v>
      </x:c>
      <x:c r="E7" s="39" t="str">
        <x:v>carlos@exemplo.com</x:v>
      </x:c>
      <x:c r="F7" s="39" t="str">
        <x:v>Curitiba / PR</x:v>
      </x:c>
      <x:c r="G7" s="39" t="str">
        <x:v>Site</x:v>
      </x:c>
      <x:c r="H7" s="39" t="str">
        <x:v>Qualificado</x:v>
      </x:c>
      <x:c r="I7" s="39" t="str">
        <x:v>Starter</x:v>
      </x:c>
      <x:c r="J7" s="39" t="n">
        <x:v>6</x:v>
      </x:c>
      <x:c r="K7" s="39" t="n">
        <x:v>2</x:v>
      </x:c>
      <x:c r="L7" s="39" t="str">
        <x:v>Não</x:v>
      </x:c>
      <x:c r="M7" s="45" t="n">
        <x:v>800</x:v>
      </x:c>
      <x:c r="N7" s="45" t="n">
        <x:v>199</x:v>
      </x:c>
      <x:c r="O7" s="50" t="n">
        <x:f>IF(H7="Novo",10%,IF(H7="Qualificado",25%,IF(H7="Demonstração",45%,IF(H7="Proposta",70%,IF(H7="Negociação",85%,IF(H7="Ganho",100%,0%))))))</x:f>
        <x:v>0.25</x:v>
      </x:c>
      <x:c r="P7" s="46" t="n">
        <x:f>IF(OR(N7="",O7=""),"",N7*O7)</x:f>
        <x:v>49.75</x:v>
      </x:c>
      <x:c r="Q7" s="60" t="str">
        <x:v>Agendar demonstração</x:v>
      </x:c>
      <x:c r="R7" s="61" t="n">
        <x:v>46308</x:v>
      </x:c>
      <x:c r="S7" s="61" t="n">
        <x:v>46304</x:v>
      </x:c>
      <x:c r="T7" s="60" t="str">
        <x:v>João</x:v>
      </x:c>
      <x:c r="U7" s="60" t="str"/>
      <x:c r="V7" s="60" t="str">
        <x:v>Usa planilhas para documentos e manutenção.</x:v>
      </x:c>
    </x:row>
    <x:row r="8">
      <x:c r="A8" s="39" t="str">
        <x:v>L-003</x:v>
      </x:c>
      <x:c r="B8" s="56" t="str">
        <x:v>Exemplo Cargas Norte</x:v>
      </x:c>
      <x:c r="C8" s="39" t="str">
        <x:v>Ana</x:v>
      </x:c>
      <x:c r="D8" s="39" t="str">
        <x:v>(62) 99999-0003</x:v>
      </x:c>
      <x:c r="E8" s="39" t="str">
        <x:v>ana@exemplo.com</x:v>
      </x:c>
      <x:c r="F8" s="39" t="str">
        <x:v>Goiânia / GO</x:v>
      </x:c>
      <x:c r="G8" s="39" t="str">
        <x:v>Prospecção ativa</x:v>
      </x:c>
      <x:c r="H8" s="39" t="str">
        <x:v>Proposta</x:v>
      </x:c>
      <x:c r="I8" s="39" t="str">
        <x:v>Completo</x:v>
      </x:c>
      <x:c r="J8" s="39" t="n">
        <x:v>62</x:v>
      </x:c>
      <x:c r="K8" s="39" t="n">
        <x:v>12</x:v>
      </x:c>
      <x:c r="L8" s="39" t="str">
        <x:v>Sim</x:v>
      </x:c>
      <x:c r="M8" s="45" t="n">
        <x:v>3500</x:v>
      </x:c>
      <x:c r="N8" s="45" t="n">
        <x:v>699</x:v>
      </x:c>
      <x:c r="O8" s="50" t="n">
        <x:f>IF(H8="Novo",10%,IF(H8="Qualificado",25%,IF(H8="Demonstração",45%,IF(H8="Proposta",70%,IF(H8="Negociação",85%,IF(H8="Ganho",100%,0%))))))</x:f>
        <x:v>0.7</x:v>
      </x:c>
      <x:c r="P8" s="46" t="n">
        <x:f>IF(OR(N8="",O8=""),"",N8*O8)</x:f>
        <x:v>489.29999999999995</x:v>
      </x:c>
      <x:c r="Q8" s="60" t="str">
        <x:v>Confirmar responsáveis pelo fiscal</x:v>
      </x:c>
      <x:c r="R8" s="61" t="n">
        <x:v>46311</x:v>
      </x:c>
      <x:c r="S8" s="61" t="n">
        <x:v>46302</x:v>
      </x:c>
      <x:c r="T8" s="60" t="str">
        <x:v>João</x:v>
      </x:c>
      <x:c r="U8" s="60" t="str"/>
      <x:c r="V8" s="60" t="str">
        <x:v>Precisa importar frota e motoristas.</x:v>
      </x:c>
    </x:row>
    <x:row r="9">
      <x:c r="A9" s="39"/>
      <x:c r="B9" s="56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45"/>
      <x:c r="N9" s="45"/>
      <x:c r="O9" s="50" t="n">
        <x:f>IF(H9="Novo",10%,IF(H9="Qualificado",25%,IF(H9="Demonstração",45%,IF(H9="Proposta",70%,IF(H9="Negociação",85%,IF(H9="Ganho",100%,0%))))))</x:f>
        <x:v>0</x:v>
      </x:c>
      <x:c r="P9" s="46" t="str">
        <x:f>IF(OR(N9="",O9=""),"",N9*O9)</x:f>
      </x:c>
      <x:c r="Q9" s="60"/>
      <x:c r="R9" s="61"/>
      <x:c r="S9" s="61"/>
      <x:c r="T9" s="60"/>
      <x:c r="U9" s="60"/>
      <x:c r="V9" s="60"/>
    </x:row>
    <x:row r="10">
      <x:c r="A10" s="39"/>
      <x:c r="B10" s="56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45"/>
      <x:c r="N10" s="45"/>
      <x:c r="O10" s="50" t="n">
        <x:f>IF(H10="Novo",10%,IF(H10="Qualificado",25%,IF(H10="Demonstração",45%,IF(H10="Proposta",70%,IF(H10="Negociação",85%,IF(H10="Ganho",100%,0%))))))</x:f>
        <x:v>0</x:v>
      </x:c>
      <x:c r="P10" s="46" t="str">
        <x:f>IF(OR(N10="",O10=""),"",N10*O10)</x:f>
      </x:c>
      <x:c r="Q10" s="60"/>
      <x:c r="R10" s="61"/>
      <x:c r="S10" s="61"/>
      <x:c r="T10" s="60"/>
      <x:c r="U10" s="60"/>
      <x:c r="V10" s="60"/>
    </x:row>
    <x:row r="11">
      <x:c r="A11" s="39"/>
      <x:c r="B11" s="56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45"/>
      <x:c r="N11" s="45"/>
      <x:c r="O11" s="50" t="n">
        <x:f>IF(H11="Novo",10%,IF(H11="Qualificado",25%,IF(H11="Demonstração",45%,IF(H11="Proposta",70%,IF(H11="Negociação",85%,IF(H11="Ganho",100%,0%))))))</x:f>
        <x:v>0</x:v>
      </x:c>
      <x:c r="P11" s="46" t="str">
        <x:f>IF(OR(N11="",O11=""),"",N11*O11)</x:f>
      </x:c>
      <x:c r="Q11" s="60"/>
      <x:c r="R11" s="61"/>
      <x:c r="S11" s="61"/>
      <x:c r="T11" s="60"/>
      <x:c r="U11" s="60"/>
      <x:c r="V11" s="60"/>
    </x:row>
    <x:row r="12">
      <x:c r="A12" s="39"/>
      <x:c r="B12" s="56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45"/>
      <x:c r="N12" s="45"/>
      <x:c r="O12" s="50" t="n">
        <x:f>IF(H12="Novo",10%,IF(H12="Qualificado",25%,IF(H12="Demonstração",45%,IF(H12="Proposta",70%,IF(H12="Negociação",85%,IF(H12="Ganho",100%,0%))))))</x:f>
        <x:v>0</x:v>
      </x:c>
      <x:c r="P12" s="46" t="str">
        <x:f>IF(OR(N12="",O12=""),"",N12*O12)</x:f>
      </x:c>
      <x:c r="Q12" s="60"/>
      <x:c r="R12" s="61"/>
      <x:c r="S12" s="61"/>
      <x:c r="T12" s="60"/>
      <x:c r="U12" s="60"/>
      <x:c r="V12" s="60"/>
    </x:row>
    <x:row r="13">
      <x:c r="A13" s="39"/>
      <x:c r="B13" s="56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45"/>
      <x:c r="N13" s="45"/>
      <x:c r="O13" s="50" t="n">
        <x:f>IF(H13="Novo",10%,IF(H13="Qualificado",25%,IF(H13="Demonstração",45%,IF(H13="Proposta",70%,IF(H13="Negociação",85%,IF(H13="Ganho",100%,0%))))))</x:f>
        <x:v>0</x:v>
      </x:c>
      <x:c r="P13" s="46" t="str">
        <x:f>IF(OR(N13="",O13=""),"",N13*O13)</x:f>
      </x:c>
      <x:c r="Q13" s="60"/>
      <x:c r="R13" s="61"/>
      <x:c r="S13" s="61"/>
      <x:c r="T13" s="60"/>
      <x:c r="U13" s="60"/>
      <x:c r="V13" s="60"/>
    </x:row>
    <x:row r="14">
      <x:c r="A14" s="39"/>
      <x:c r="B14" s="56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45"/>
      <x:c r="N14" s="45"/>
      <x:c r="O14" s="50" t="n">
        <x:f>IF(H14="Novo",10%,IF(H14="Qualificado",25%,IF(H14="Demonstração",45%,IF(H14="Proposta",70%,IF(H14="Negociação",85%,IF(H14="Ganho",100%,0%))))))</x:f>
        <x:v>0</x:v>
      </x:c>
      <x:c r="P14" s="46" t="str">
        <x:f>IF(OR(N14="",O14=""),"",N14*O14)</x:f>
      </x:c>
      <x:c r="Q14" s="60"/>
      <x:c r="R14" s="61"/>
      <x:c r="S14" s="61"/>
      <x:c r="T14" s="60"/>
      <x:c r="U14" s="60"/>
      <x:c r="V14" s="60"/>
    </x:row>
    <x:row r="15">
      <x:c r="A15" s="39"/>
      <x:c r="B15" s="56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45"/>
      <x:c r="N15" s="45"/>
      <x:c r="O15" s="50" t="n">
        <x:f>IF(H15="Novo",10%,IF(H15="Qualificado",25%,IF(H15="Demonstração",45%,IF(H15="Proposta",70%,IF(H15="Negociação",85%,IF(H15="Ganho",100%,0%))))))</x:f>
        <x:v>0</x:v>
      </x:c>
      <x:c r="P15" s="46" t="str">
        <x:f>IF(OR(N15="",O15=""),"",N15*O15)</x:f>
      </x:c>
      <x:c r="Q15" s="60"/>
      <x:c r="R15" s="61"/>
      <x:c r="S15" s="61"/>
      <x:c r="T15" s="60"/>
      <x:c r="U15" s="60"/>
      <x:c r="V15" s="60"/>
    </x:row>
    <x:row r="16">
      <x:c r="A16" s="39"/>
      <x:c r="B16" s="56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45"/>
      <x:c r="N16" s="45"/>
      <x:c r="O16" s="50" t="n">
        <x:f>IF(H16="Novo",10%,IF(H16="Qualificado",25%,IF(H16="Demonstração",45%,IF(H16="Proposta",70%,IF(H16="Negociação",85%,IF(H16="Ganho",100%,0%))))))</x:f>
        <x:v>0</x:v>
      </x:c>
      <x:c r="P16" s="46" t="str">
        <x:f>IF(OR(N16="",O16=""),"",N16*O16)</x:f>
      </x:c>
      <x:c r="Q16" s="60"/>
      <x:c r="R16" s="61"/>
      <x:c r="S16" s="61"/>
      <x:c r="T16" s="60"/>
      <x:c r="U16" s="60"/>
      <x:c r="V16" s="60"/>
    </x:row>
    <x:row r="17">
      <x:c r="A17" s="39"/>
      <x:c r="B17" s="56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45"/>
      <x:c r="N17" s="45"/>
      <x:c r="O17" s="50" t="n">
        <x:f>IF(H17="Novo",10%,IF(H17="Qualificado",25%,IF(H17="Demonstração",45%,IF(H17="Proposta",70%,IF(H17="Negociação",85%,IF(H17="Ganho",100%,0%))))))</x:f>
        <x:v>0</x:v>
      </x:c>
      <x:c r="P17" s="46" t="str">
        <x:f>IF(OR(N17="",O17=""),"",N17*O17)</x:f>
      </x:c>
      <x:c r="Q17" s="60"/>
      <x:c r="R17" s="61"/>
      <x:c r="S17" s="61"/>
      <x:c r="T17" s="60"/>
      <x:c r="U17" s="60"/>
      <x:c r="V17" s="60"/>
    </x:row>
    <x:row r="18">
      <x:c r="A18" s="39"/>
      <x:c r="B18" s="56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45"/>
      <x:c r="N18" s="45"/>
      <x:c r="O18" s="50" t="n">
        <x:f>IF(H18="Novo",10%,IF(H18="Qualificado",25%,IF(H18="Demonstração",45%,IF(H18="Proposta",70%,IF(H18="Negociação",85%,IF(H18="Ganho",100%,0%))))))</x:f>
        <x:v>0</x:v>
      </x:c>
      <x:c r="P18" s="46" t="str">
        <x:f>IF(OR(N18="",O18=""),"",N18*O18)</x:f>
      </x:c>
      <x:c r="Q18" s="60"/>
      <x:c r="R18" s="61"/>
      <x:c r="S18" s="61"/>
      <x:c r="T18" s="60"/>
      <x:c r="U18" s="60"/>
      <x:c r="V18" s="60"/>
    </x:row>
    <x:row r="19">
      <x:c r="A19" s="39"/>
      <x:c r="B19" s="56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45"/>
      <x:c r="N19" s="45"/>
      <x:c r="O19" s="50" t="n">
        <x:f>IF(H19="Novo",10%,IF(H19="Qualificado",25%,IF(H19="Demonstração",45%,IF(H19="Proposta",70%,IF(H19="Negociação",85%,IF(H19="Ganho",100%,0%))))))</x:f>
        <x:v>0</x:v>
      </x:c>
      <x:c r="P19" s="46" t="str">
        <x:f>IF(OR(N19="",O19=""),"",N19*O19)</x:f>
      </x:c>
      <x:c r="Q19" s="60"/>
      <x:c r="R19" s="61"/>
      <x:c r="S19" s="61"/>
      <x:c r="T19" s="60"/>
      <x:c r="U19" s="60"/>
      <x:c r="V19" s="60"/>
    </x:row>
    <x:row r="20">
      <x:c r="A20" s="39"/>
      <x:c r="B20" s="56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45"/>
      <x:c r="N20" s="45"/>
      <x:c r="O20" s="50" t="n">
        <x:f>IF(H20="Novo",10%,IF(H20="Qualificado",25%,IF(H20="Demonstração",45%,IF(H20="Proposta",70%,IF(H20="Negociação",85%,IF(H20="Ganho",100%,0%))))))</x:f>
        <x:v>0</x:v>
      </x:c>
      <x:c r="P20" s="46" t="str">
        <x:f>IF(OR(N20="",O20=""),"",N20*O20)</x:f>
      </x:c>
      <x:c r="Q20" s="60"/>
      <x:c r="R20" s="61"/>
      <x:c r="S20" s="61"/>
      <x:c r="T20" s="60"/>
      <x:c r="U20" s="60"/>
      <x:c r="V20" s="60"/>
    </x:row>
    <x:row r="21">
      <x:c r="A21" s="39"/>
      <x:c r="B21" s="56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45"/>
      <x:c r="N21" s="45"/>
      <x:c r="O21" s="50" t="n">
        <x:f>IF(H21="Novo",10%,IF(H21="Qualificado",25%,IF(H21="Demonstração",45%,IF(H21="Proposta",70%,IF(H21="Negociação",85%,IF(H21="Ganho",100%,0%))))))</x:f>
        <x:v>0</x:v>
      </x:c>
      <x:c r="P21" s="46" t="str">
        <x:f>IF(OR(N21="",O21=""),"",N21*O21)</x:f>
      </x:c>
      <x:c r="Q21" s="60"/>
      <x:c r="R21" s="61"/>
      <x:c r="S21" s="61"/>
      <x:c r="T21" s="60"/>
      <x:c r="U21" s="60"/>
      <x:c r="V21" s="60"/>
    </x:row>
    <x:row r="22">
      <x:c r="A22" s="39"/>
      <x:c r="B22" s="56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45"/>
      <x:c r="N22" s="45"/>
      <x:c r="O22" s="50" t="n">
        <x:f>IF(H22="Novo",10%,IF(H22="Qualificado",25%,IF(H22="Demonstração",45%,IF(H22="Proposta",70%,IF(H22="Negociação",85%,IF(H22="Ganho",100%,0%))))))</x:f>
        <x:v>0</x:v>
      </x:c>
      <x:c r="P22" s="46" t="str">
        <x:f>IF(OR(N22="",O22=""),"",N22*O22)</x:f>
      </x:c>
      <x:c r="Q22" s="60"/>
      <x:c r="R22" s="61"/>
      <x:c r="S22" s="61"/>
      <x:c r="T22" s="60"/>
      <x:c r="U22" s="60"/>
      <x:c r="V22" s="60"/>
    </x:row>
    <x:row r="23">
      <x:c r="A23" s="39"/>
      <x:c r="B23" s="56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45"/>
      <x:c r="N23" s="45"/>
      <x:c r="O23" s="50" t="n">
        <x:f>IF(H23="Novo",10%,IF(H23="Qualificado",25%,IF(H23="Demonstração",45%,IF(H23="Proposta",70%,IF(H23="Negociação",85%,IF(H23="Ganho",100%,0%))))))</x:f>
        <x:v>0</x:v>
      </x:c>
      <x:c r="P23" s="46" t="str">
        <x:f>IF(OR(N23="",O23=""),"",N23*O23)</x:f>
      </x:c>
      <x:c r="Q23" s="60"/>
      <x:c r="R23" s="61"/>
      <x:c r="S23" s="61"/>
      <x:c r="T23" s="60"/>
      <x:c r="U23" s="60"/>
      <x:c r="V23" s="60"/>
    </x:row>
    <x:row r="24">
      <x:c r="A24" s="39"/>
      <x:c r="B24" s="56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45"/>
      <x:c r="N24" s="45"/>
      <x:c r="O24" s="50" t="n">
        <x:f>IF(H24="Novo",10%,IF(H24="Qualificado",25%,IF(H24="Demonstração",45%,IF(H24="Proposta",70%,IF(H24="Negociação",85%,IF(H24="Ganho",100%,0%))))))</x:f>
        <x:v>0</x:v>
      </x:c>
      <x:c r="P24" s="46" t="str">
        <x:f>IF(OR(N24="",O24=""),"",N24*O24)</x:f>
      </x:c>
      <x:c r="Q24" s="60"/>
      <x:c r="R24" s="61"/>
      <x:c r="S24" s="61"/>
      <x:c r="T24" s="60"/>
      <x:c r="U24" s="60"/>
      <x:c r="V24" s="60"/>
    </x:row>
    <x:row r="25">
      <x:c r="A25" s="39"/>
      <x:c r="B25" s="56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45"/>
      <x:c r="N25" s="45"/>
      <x:c r="O25" s="50" t="n">
        <x:f>IF(H25="Novo",10%,IF(H25="Qualificado",25%,IF(H25="Demonstração",45%,IF(H25="Proposta",70%,IF(H25="Negociação",85%,IF(H25="Ganho",100%,0%))))))</x:f>
        <x:v>0</x:v>
      </x:c>
      <x:c r="P25" s="46" t="str">
        <x:f>IF(OR(N25="",O25=""),"",N25*O25)</x:f>
      </x:c>
      <x:c r="Q25" s="60"/>
      <x:c r="R25" s="61"/>
      <x:c r="S25" s="61"/>
      <x:c r="T25" s="60"/>
      <x:c r="U25" s="60"/>
      <x:c r="V25" s="60"/>
    </x:row>
    <x:row r="26">
      <x:c r="A26" s="39"/>
      <x:c r="B26" s="56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45"/>
      <x:c r="N26" s="45"/>
      <x:c r="O26" s="50" t="n">
        <x:f>IF(H26="Novo",10%,IF(H26="Qualificado",25%,IF(H26="Demonstração",45%,IF(H26="Proposta",70%,IF(H26="Negociação",85%,IF(H26="Ganho",100%,0%))))))</x:f>
        <x:v>0</x:v>
      </x:c>
      <x:c r="P26" s="46" t="str">
        <x:f>IF(OR(N26="",O26=""),"",N26*O26)</x:f>
      </x:c>
      <x:c r="Q26" s="60"/>
      <x:c r="R26" s="61"/>
      <x:c r="S26" s="61"/>
      <x:c r="T26" s="60"/>
      <x:c r="U26" s="60"/>
      <x:c r="V26" s="60"/>
    </x:row>
    <x:row r="27">
      <x:c r="A27" s="39"/>
      <x:c r="B27" s="56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45"/>
      <x:c r="N27" s="45"/>
      <x:c r="O27" s="50" t="n">
        <x:f>IF(H27="Novo",10%,IF(H27="Qualificado",25%,IF(H27="Demonstração",45%,IF(H27="Proposta",70%,IF(H27="Negociação",85%,IF(H27="Ganho",100%,0%))))))</x:f>
        <x:v>0</x:v>
      </x:c>
      <x:c r="P27" s="46" t="str">
        <x:f>IF(OR(N27="",O27=""),"",N27*O27)</x:f>
      </x:c>
      <x:c r="Q27" s="60"/>
      <x:c r="R27" s="61"/>
      <x:c r="S27" s="61"/>
      <x:c r="T27" s="60"/>
      <x:c r="U27" s="60"/>
      <x:c r="V27" s="60"/>
    </x:row>
    <x:row r="28">
      <x:c r="A28" s="39"/>
      <x:c r="B28" s="56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45"/>
      <x:c r="N28" s="45"/>
      <x:c r="O28" s="50" t="n">
        <x:f>IF(H28="Novo",10%,IF(H28="Qualificado",25%,IF(H28="Demonstração",45%,IF(H28="Proposta",70%,IF(H28="Negociação",85%,IF(H28="Ganho",100%,0%))))))</x:f>
        <x:v>0</x:v>
      </x:c>
      <x:c r="P28" s="46" t="str">
        <x:f>IF(OR(N28="",O28=""),"",N28*O28)</x:f>
      </x:c>
      <x:c r="Q28" s="60"/>
      <x:c r="R28" s="61"/>
      <x:c r="S28" s="61"/>
      <x:c r="T28" s="60"/>
      <x:c r="U28" s="60"/>
      <x:c r="V28" s="60"/>
    </x:row>
    <x:row r="29">
      <x:c r="A29" s="39"/>
      <x:c r="B29" s="56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45"/>
      <x:c r="N29" s="45"/>
      <x:c r="O29" s="50" t="n">
        <x:f>IF(H29="Novo",10%,IF(H29="Qualificado",25%,IF(H29="Demonstração",45%,IF(H29="Proposta",70%,IF(H29="Negociação",85%,IF(H29="Ganho",100%,0%))))))</x:f>
        <x:v>0</x:v>
      </x:c>
      <x:c r="P29" s="46" t="str">
        <x:f>IF(OR(N29="",O29=""),"",N29*O29)</x:f>
      </x:c>
      <x:c r="Q29" s="60"/>
      <x:c r="R29" s="61"/>
      <x:c r="S29" s="61"/>
      <x:c r="T29" s="60"/>
      <x:c r="U29" s="60"/>
      <x:c r="V29" s="60"/>
    </x:row>
    <x:row r="30">
      <x:c r="A30" s="39"/>
      <x:c r="B30" s="56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45"/>
      <x:c r="N30" s="45"/>
      <x:c r="O30" s="50" t="n">
        <x:f>IF(H30="Novo",10%,IF(H30="Qualificado",25%,IF(H30="Demonstração",45%,IF(H30="Proposta",70%,IF(H30="Negociação",85%,IF(H30="Ganho",100%,0%))))))</x:f>
        <x:v>0</x:v>
      </x:c>
      <x:c r="P30" s="46" t="str">
        <x:f>IF(OR(N30="",O30=""),"",N30*O30)</x:f>
      </x:c>
      <x:c r="Q30" s="60"/>
      <x:c r="R30" s="61"/>
      <x:c r="S30" s="61"/>
      <x:c r="T30" s="60"/>
      <x:c r="U30" s="60"/>
      <x:c r="V30" s="60"/>
    </x:row>
    <x:row r="31">
      <x:c r="A31" s="39"/>
      <x:c r="B31" s="56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45"/>
      <x:c r="N31" s="45"/>
      <x:c r="O31" s="50" t="n">
        <x:f>IF(H31="Novo",10%,IF(H31="Qualificado",25%,IF(H31="Demonstração",45%,IF(H31="Proposta",70%,IF(H31="Negociação",85%,IF(H31="Ganho",100%,0%))))))</x:f>
        <x:v>0</x:v>
      </x:c>
      <x:c r="P31" s="46" t="str">
        <x:f>IF(OR(N31="",O31=""),"",N31*O31)</x:f>
      </x:c>
      <x:c r="Q31" s="60"/>
      <x:c r="R31" s="61"/>
      <x:c r="S31" s="61"/>
      <x:c r="T31" s="60"/>
      <x:c r="U31" s="60"/>
      <x:c r="V31" s="60"/>
    </x:row>
    <x:row r="32">
      <x:c r="A32" s="39"/>
      <x:c r="B32" s="56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45"/>
      <x:c r="N32" s="45"/>
      <x:c r="O32" s="50" t="n">
        <x:f>IF(H32="Novo",10%,IF(H32="Qualificado",25%,IF(H32="Demonstração",45%,IF(H32="Proposta",70%,IF(H32="Negociação",85%,IF(H32="Ganho",100%,0%))))))</x:f>
        <x:v>0</x:v>
      </x:c>
      <x:c r="P32" s="46" t="str">
        <x:f>IF(OR(N32="",O32=""),"",N32*O32)</x:f>
      </x:c>
      <x:c r="Q32" s="60"/>
      <x:c r="R32" s="61"/>
      <x:c r="S32" s="61"/>
      <x:c r="T32" s="60"/>
      <x:c r="U32" s="60"/>
      <x:c r="V32" s="60"/>
    </x:row>
    <x:row r="33">
      <x:c r="A33" s="39"/>
      <x:c r="B33" s="56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45"/>
      <x:c r="N33" s="45"/>
      <x:c r="O33" s="50" t="n">
        <x:f>IF(H33="Novo",10%,IF(H33="Qualificado",25%,IF(H33="Demonstração",45%,IF(H33="Proposta",70%,IF(H33="Negociação",85%,IF(H33="Ganho",100%,0%))))))</x:f>
        <x:v>0</x:v>
      </x:c>
      <x:c r="P33" s="46" t="str">
        <x:f>IF(OR(N33="",O33=""),"",N33*O33)</x:f>
      </x:c>
      <x:c r="Q33" s="60"/>
      <x:c r="R33" s="61"/>
      <x:c r="S33" s="61"/>
      <x:c r="T33" s="60"/>
      <x:c r="U33" s="60"/>
      <x:c r="V33" s="60"/>
    </x:row>
    <x:row r="34">
      <x:c r="A34" s="39"/>
      <x:c r="B34" s="56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45"/>
      <x:c r="N34" s="45"/>
      <x:c r="O34" s="50" t="n">
        <x:f>IF(H34="Novo",10%,IF(H34="Qualificado",25%,IF(H34="Demonstração",45%,IF(H34="Proposta",70%,IF(H34="Negociação",85%,IF(H34="Ganho",100%,0%))))))</x:f>
        <x:v>0</x:v>
      </x:c>
      <x:c r="P34" s="46" t="str">
        <x:f>IF(OR(N34="",O34=""),"",N34*O34)</x:f>
      </x:c>
      <x:c r="Q34" s="60"/>
      <x:c r="R34" s="61"/>
      <x:c r="S34" s="61"/>
      <x:c r="T34" s="60"/>
      <x:c r="U34" s="60"/>
      <x:c r="V34" s="60"/>
    </x:row>
    <x:row r="35">
      <x:c r="A35" s="39"/>
      <x:c r="B35" s="56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45"/>
      <x:c r="N35" s="45"/>
      <x:c r="O35" s="50" t="n">
        <x:f>IF(H35="Novo",10%,IF(H35="Qualificado",25%,IF(H35="Demonstração",45%,IF(H35="Proposta",70%,IF(H35="Negociação",85%,IF(H35="Ganho",100%,0%))))))</x:f>
        <x:v>0</x:v>
      </x:c>
      <x:c r="P35" s="46" t="str">
        <x:f>IF(OR(N35="",O35=""),"",N35*O35)</x:f>
      </x:c>
      <x:c r="Q35" s="60"/>
      <x:c r="R35" s="61"/>
      <x:c r="S35" s="61"/>
      <x:c r="T35" s="60"/>
      <x:c r="U35" s="60"/>
      <x:c r="V35" s="60"/>
    </x:row>
    <x:row r="36">
      <x:c r="A36" s="39"/>
      <x:c r="B36" s="56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45"/>
      <x:c r="N36" s="45"/>
      <x:c r="O36" s="50" t="n">
        <x:f>IF(H36="Novo",10%,IF(H36="Qualificado",25%,IF(H36="Demonstração",45%,IF(H36="Proposta",70%,IF(H36="Negociação",85%,IF(H36="Ganho",100%,0%))))))</x:f>
        <x:v>0</x:v>
      </x:c>
      <x:c r="P36" s="46" t="str">
        <x:f>IF(OR(N36="",O36=""),"",N36*O36)</x:f>
      </x:c>
      <x:c r="Q36" s="60"/>
      <x:c r="R36" s="61"/>
      <x:c r="S36" s="61"/>
      <x:c r="T36" s="60"/>
      <x:c r="U36" s="60"/>
      <x:c r="V36" s="60"/>
    </x:row>
    <x:row r="37">
      <x:c r="A37" s="39"/>
      <x:c r="B37" s="56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45"/>
      <x:c r="N37" s="45"/>
      <x:c r="O37" s="50" t="n">
        <x:f>IF(H37="Novo",10%,IF(H37="Qualificado",25%,IF(H37="Demonstração",45%,IF(H37="Proposta",70%,IF(H37="Negociação",85%,IF(H37="Ganho",100%,0%))))))</x:f>
        <x:v>0</x:v>
      </x:c>
      <x:c r="P37" s="46" t="str">
        <x:f>IF(OR(N37="",O37=""),"",N37*O37)</x:f>
      </x:c>
      <x:c r="Q37" s="60"/>
      <x:c r="R37" s="61"/>
      <x:c r="S37" s="61"/>
      <x:c r="T37" s="60"/>
      <x:c r="U37" s="60"/>
      <x:c r="V37" s="60"/>
    </x:row>
    <x:row r="38">
      <x:c r="A38" s="39"/>
      <x:c r="B38" s="56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45"/>
      <x:c r="N38" s="45"/>
      <x:c r="O38" s="50" t="n">
        <x:f>IF(H38="Novo",10%,IF(H38="Qualificado",25%,IF(H38="Demonstração",45%,IF(H38="Proposta",70%,IF(H38="Negociação",85%,IF(H38="Ganho",100%,0%))))))</x:f>
        <x:v>0</x:v>
      </x:c>
      <x:c r="P38" s="46" t="str">
        <x:f>IF(OR(N38="",O38=""),"",N38*O38)</x:f>
      </x:c>
      <x:c r="Q38" s="60"/>
      <x:c r="R38" s="61"/>
      <x:c r="S38" s="61"/>
      <x:c r="T38" s="60"/>
      <x:c r="U38" s="60"/>
      <x:c r="V38" s="60"/>
    </x:row>
    <x:row r="39">
      <x:c r="A39" s="39"/>
      <x:c r="B39" s="56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45"/>
      <x:c r="N39" s="45"/>
      <x:c r="O39" s="50" t="n">
        <x:f>IF(H39="Novo",10%,IF(H39="Qualificado",25%,IF(H39="Demonstração",45%,IF(H39="Proposta",70%,IF(H39="Negociação",85%,IF(H39="Ganho",100%,0%))))))</x:f>
        <x:v>0</x:v>
      </x:c>
      <x:c r="P39" s="46" t="str">
        <x:f>IF(OR(N39="",O39=""),"",N39*O39)</x:f>
      </x:c>
      <x:c r="Q39" s="60"/>
      <x:c r="R39" s="61"/>
      <x:c r="S39" s="61"/>
      <x:c r="T39" s="60"/>
      <x:c r="U39" s="60"/>
      <x:c r="V39" s="60"/>
    </x:row>
    <x:row r="40">
      <x:c r="A40" s="39"/>
      <x:c r="B40" s="56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45"/>
      <x:c r="N40" s="45"/>
      <x:c r="O40" s="50" t="n">
        <x:f>IF(H40="Novo",10%,IF(H40="Qualificado",25%,IF(H40="Demonstração",45%,IF(H40="Proposta",70%,IF(H40="Negociação",85%,IF(H40="Ganho",100%,0%))))))</x:f>
        <x:v>0</x:v>
      </x:c>
      <x:c r="P40" s="46" t="str">
        <x:f>IF(OR(N40="",O40=""),"",N40*O40)</x:f>
      </x:c>
      <x:c r="Q40" s="60"/>
      <x:c r="R40" s="61"/>
      <x:c r="S40" s="61"/>
      <x:c r="T40" s="60"/>
      <x:c r="U40" s="60"/>
      <x:c r="V40" s="60"/>
    </x:row>
    <x:row r="41">
      <x:c r="A41" s="39"/>
      <x:c r="B41" s="56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45"/>
      <x:c r="N41" s="45"/>
      <x:c r="O41" s="50" t="n">
        <x:f>IF(H41="Novo",10%,IF(H41="Qualificado",25%,IF(H41="Demonstração",45%,IF(H41="Proposta",70%,IF(H41="Negociação",85%,IF(H41="Ganho",100%,0%))))))</x:f>
        <x:v>0</x:v>
      </x:c>
      <x:c r="P41" s="46" t="str">
        <x:f>IF(OR(N41="",O41=""),"",N41*O41)</x:f>
      </x:c>
      <x:c r="Q41" s="60"/>
      <x:c r="R41" s="61"/>
      <x:c r="S41" s="61"/>
      <x:c r="T41" s="60"/>
      <x:c r="U41" s="60"/>
      <x:c r="V41" s="60"/>
    </x:row>
    <x:row r="42">
      <x:c r="A42" s="39"/>
      <x:c r="B42" s="56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45"/>
      <x:c r="N42" s="45"/>
      <x:c r="O42" s="50" t="n">
        <x:f>IF(H42="Novo",10%,IF(H42="Qualificado",25%,IF(H42="Demonstração",45%,IF(H42="Proposta",70%,IF(H42="Negociação",85%,IF(H42="Ganho",100%,0%))))))</x:f>
        <x:v>0</x:v>
      </x:c>
      <x:c r="P42" s="46" t="str">
        <x:f>IF(OR(N42="",O42=""),"",N42*O42)</x:f>
      </x:c>
      <x:c r="Q42" s="60"/>
      <x:c r="R42" s="61"/>
      <x:c r="S42" s="61"/>
      <x:c r="T42" s="60"/>
      <x:c r="U42" s="60"/>
      <x:c r="V42" s="60"/>
    </x:row>
    <x:row r="43">
      <x:c r="A43" s="39"/>
      <x:c r="B43" s="56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45"/>
      <x:c r="N43" s="45"/>
      <x:c r="O43" s="50" t="n">
        <x:f>IF(H43="Novo",10%,IF(H43="Qualificado",25%,IF(H43="Demonstração",45%,IF(H43="Proposta",70%,IF(H43="Negociação",85%,IF(H43="Ganho",100%,0%))))))</x:f>
        <x:v>0</x:v>
      </x:c>
      <x:c r="P43" s="46" t="str">
        <x:f>IF(OR(N43="",O43=""),"",N43*O43)</x:f>
      </x:c>
      <x:c r="Q43" s="60"/>
      <x:c r="R43" s="61"/>
      <x:c r="S43" s="61"/>
      <x:c r="T43" s="60"/>
      <x:c r="U43" s="60"/>
      <x:c r="V43" s="60"/>
    </x:row>
    <x:row r="44">
      <x:c r="A44" s="39"/>
      <x:c r="B44" s="56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45"/>
      <x:c r="N44" s="45"/>
      <x:c r="O44" s="50" t="n">
        <x:f>IF(H44="Novo",10%,IF(H44="Qualificado",25%,IF(H44="Demonstração",45%,IF(H44="Proposta",70%,IF(H44="Negociação",85%,IF(H44="Ganho",100%,0%))))))</x:f>
        <x:v>0</x:v>
      </x:c>
      <x:c r="P44" s="46" t="str">
        <x:f>IF(OR(N44="",O44=""),"",N44*O44)</x:f>
      </x:c>
      <x:c r="Q44" s="60"/>
      <x:c r="R44" s="61"/>
      <x:c r="S44" s="61"/>
      <x:c r="T44" s="60"/>
      <x:c r="U44" s="60"/>
      <x:c r="V44" s="60"/>
    </x:row>
    <x:row r="45">
      <x:c r="A45" s="39"/>
      <x:c r="B45" s="56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45"/>
      <x:c r="N45" s="45"/>
      <x:c r="O45" s="50" t="n">
        <x:f>IF(H45="Novo",10%,IF(H45="Qualificado",25%,IF(H45="Demonstração",45%,IF(H45="Proposta",70%,IF(H45="Negociação",85%,IF(H45="Ganho",100%,0%))))))</x:f>
        <x:v>0</x:v>
      </x:c>
      <x:c r="P45" s="46" t="str">
        <x:f>IF(OR(N45="",O45=""),"",N45*O45)</x:f>
      </x:c>
      <x:c r="Q45" s="60"/>
      <x:c r="R45" s="61"/>
      <x:c r="S45" s="61"/>
      <x:c r="T45" s="60"/>
      <x:c r="U45" s="60"/>
      <x:c r="V45" s="60"/>
    </x:row>
    <x:row r="46">
      <x:c r="A46" s="39"/>
      <x:c r="B46" s="56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45"/>
      <x:c r="N46" s="45"/>
      <x:c r="O46" s="50" t="n">
        <x:f>IF(H46="Novo",10%,IF(H46="Qualificado",25%,IF(H46="Demonstração",45%,IF(H46="Proposta",70%,IF(H46="Negociação",85%,IF(H46="Ganho",100%,0%))))))</x:f>
        <x:v>0</x:v>
      </x:c>
      <x:c r="P46" s="46" t="str">
        <x:f>IF(OR(N46="",O46=""),"",N46*O46)</x:f>
      </x:c>
      <x:c r="Q46" s="60"/>
      <x:c r="R46" s="61"/>
      <x:c r="S46" s="61"/>
      <x:c r="T46" s="60"/>
      <x:c r="U46" s="60"/>
      <x:c r="V46" s="60"/>
    </x:row>
    <x:row r="47">
      <x:c r="A47" s="39"/>
      <x:c r="B47" s="56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45"/>
      <x:c r="N47" s="45"/>
      <x:c r="O47" s="50" t="n">
        <x:f>IF(H47="Novo",10%,IF(H47="Qualificado",25%,IF(H47="Demonstração",45%,IF(H47="Proposta",70%,IF(H47="Negociação",85%,IF(H47="Ganho",100%,0%))))))</x:f>
        <x:v>0</x:v>
      </x:c>
      <x:c r="P47" s="46" t="str">
        <x:f>IF(OR(N47="",O47=""),"",N47*O47)</x:f>
      </x:c>
      <x:c r="Q47" s="60"/>
      <x:c r="R47" s="61"/>
      <x:c r="S47" s="61"/>
      <x:c r="T47" s="60"/>
      <x:c r="U47" s="60"/>
      <x:c r="V47" s="60"/>
    </x:row>
    <x:row r="48">
      <x:c r="A48" s="39"/>
      <x:c r="B48" s="56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45"/>
      <x:c r="N48" s="45"/>
      <x:c r="O48" s="50" t="n">
        <x:f>IF(H48="Novo",10%,IF(H48="Qualificado",25%,IF(H48="Demonstração",45%,IF(H48="Proposta",70%,IF(H48="Negociação",85%,IF(H48="Ganho",100%,0%))))))</x:f>
        <x:v>0</x:v>
      </x:c>
      <x:c r="P48" s="46" t="str">
        <x:f>IF(OR(N48="",O48=""),"",N48*O48)</x:f>
      </x:c>
      <x:c r="Q48" s="60"/>
      <x:c r="R48" s="61"/>
      <x:c r="S48" s="61"/>
      <x:c r="T48" s="60"/>
      <x:c r="U48" s="60"/>
      <x:c r="V48" s="60"/>
    </x:row>
    <x:row r="49">
      <x:c r="A49" s="39"/>
      <x:c r="B49" s="56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45"/>
      <x:c r="N49" s="45"/>
      <x:c r="O49" s="50" t="n">
        <x:f>IF(H49="Novo",10%,IF(H49="Qualificado",25%,IF(H49="Demonstração",45%,IF(H49="Proposta",70%,IF(H49="Negociação",85%,IF(H49="Ganho",100%,0%))))))</x:f>
        <x:v>0</x:v>
      </x:c>
      <x:c r="P49" s="46" t="str">
        <x:f>IF(OR(N49="",O49=""),"",N49*O49)</x:f>
      </x:c>
      <x:c r="Q49" s="60"/>
      <x:c r="R49" s="61"/>
      <x:c r="S49" s="61"/>
      <x:c r="T49" s="60"/>
      <x:c r="U49" s="60"/>
      <x:c r="V49" s="60"/>
    </x:row>
    <x:row r="50">
      <x:c r="A50" s="39"/>
      <x:c r="B50" s="56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45"/>
      <x:c r="N50" s="45"/>
      <x:c r="O50" s="50" t="n">
        <x:f>IF(H50="Novo",10%,IF(H50="Qualificado",25%,IF(H50="Demonstração",45%,IF(H50="Proposta",70%,IF(H50="Negociação",85%,IF(H50="Ganho",100%,0%))))))</x:f>
        <x:v>0</x:v>
      </x:c>
      <x:c r="P50" s="46" t="str">
        <x:f>IF(OR(N50="",O50=""),"",N50*O50)</x:f>
      </x:c>
      <x:c r="Q50" s="60"/>
      <x:c r="R50" s="61"/>
      <x:c r="S50" s="61"/>
      <x:c r="T50" s="60"/>
      <x:c r="U50" s="60"/>
      <x:c r="V50" s="60"/>
    </x:row>
    <x:row r="51">
      <x:c r="A51" s="39"/>
      <x:c r="B51" s="56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45"/>
      <x:c r="N51" s="45"/>
      <x:c r="O51" s="50" t="n">
        <x:f>IF(H51="Novo",10%,IF(H51="Qualificado",25%,IF(H51="Demonstração",45%,IF(H51="Proposta",70%,IF(H51="Negociação",85%,IF(H51="Ganho",100%,0%))))))</x:f>
        <x:v>0</x:v>
      </x:c>
      <x:c r="P51" s="46" t="str">
        <x:f>IF(OR(N51="",O51=""),"",N51*O51)</x:f>
      </x:c>
      <x:c r="Q51" s="60"/>
      <x:c r="R51" s="61"/>
      <x:c r="S51" s="61"/>
      <x:c r="T51" s="60"/>
      <x:c r="U51" s="60"/>
      <x:c r="V51" s="60"/>
    </x:row>
    <x:row r="52">
      <x:c r="A52" s="39"/>
      <x:c r="B52" s="56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45"/>
      <x:c r="N52" s="45"/>
      <x:c r="O52" s="50" t="n">
        <x:f>IF(H52="Novo",10%,IF(H52="Qualificado",25%,IF(H52="Demonstração",45%,IF(H52="Proposta",70%,IF(H52="Negociação",85%,IF(H52="Ganho",100%,0%))))))</x:f>
        <x:v>0</x:v>
      </x:c>
      <x:c r="P52" s="46" t="str">
        <x:f>IF(OR(N52="",O52=""),"",N52*O52)</x:f>
      </x:c>
      <x:c r="Q52" s="60"/>
      <x:c r="R52" s="61"/>
      <x:c r="S52" s="61"/>
      <x:c r="T52" s="60"/>
      <x:c r="U52" s="60"/>
      <x:c r="V52" s="60"/>
    </x:row>
    <x:row r="53">
      <x:c r="A53" s="39"/>
      <x:c r="B53" s="56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45"/>
      <x:c r="N53" s="45"/>
      <x:c r="O53" s="50" t="n">
        <x:f>IF(H53="Novo",10%,IF(H53="Qualificado",25%,IF(H53="Demonstração",45%,IF(H53="Proposta",70%,IF(H53="Negociação",85%,IF(H53="Ganho",100%,0%))))))</x:f>
        <x:v>0</x:v>
      </x:c>
      <x:c r="P53" s="46" t="str">
        <x:f>IF(OR(N53="",O53=""),"",N53*O53)</x:f>
      </x:c>
      <x:c r="Q53" s="60"/>
      <x:c r="R53" s="61"/>
      <x:c r="S53" s="61"/>
      <x:c r="T53" s="60"/>
      <x:c r="U53" s="60"/>
      <x:c r="V53" s="60"/>
    </x:row>
    <x:row r="54">
      <x:c r="A54" s="39"/>
      <x:c r="B54" s="56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45"/>
      <x:c r="N54" s="45"/>
      <x:c r="O54" s="50" t="n">
        <x:f>IF(H54="Novo",10%,IF(H54="Qualificado",25%,IF(H54="Demonstração",45%,IF(H54="Proposta",70%,IF(H54="Negociação",85%,IF(H54="Ganho",100%,0%))))))</x:f>
        <x:v>0</x:v>
      </x:c>
      <x:c r="P54" s="46" t="str">
        <x:f>IF(OR(N54="",O54=""),"",N54*O54)</x:f>
      </x:c>
      <x:c r="Q54" s="60"/>
      <x:c r="R54" s="61"/>
      <x:c r="S54" s="61"/>
      <x:c r="T54" s="60"/>
      <x:c r="U54" s="60"/>
      <x:c r="V54" s="60"/>
    </x:row>
    <x:row r="55">
      <x:c r="A55" s="39"/>
      <x:c r="B55" s="56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45"/>
      <x:c r="N55" s="45"/>
      <x:c r="O55" s="50" t="n">
        <x:f>IF(H55="Novo",10%,IF(H55="Qualificado",25%,IF(H55="Demonstração",45%,IF(H55="Proposta",70%,IF(H55="Negociação",85%,IF(H55="Ganho",100%,0%))))))</x:f>
        <x:v>0</x:v>
      </x:c>
      <x:c r="P55" s="46" t="str">
        <x:f>IF(OR(N55="",O55=""),"",N55*O55)</x:f>
      </x:c>
      <x:c r="Q55" s="60"/>
      <x:c r="R55" s="61"/>
      <x:c r="S55" s="61"/>
      <x:c r="T55" s="60"/>
      <x:c r="U55" s="60"/>
      <x:c r="V55" s="60"/>
    </x:row>
    <x:row r="56">
      <x:c r="A56" s="39"/>
      <x:c r="B56" s="56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45"/>
      <x:c r="N56" s="45"/>
      <x:c r="O56" s="50" t="n">
        <x:f>IF(H56="Novo",10%,IF(H56="Qualificado",25%,IF(H56="Demonstração",45%,IF(H56="Proposta",70%,IF(H56="Negociação",85%,IF(H56="Ganho",100%,0%))))))</x:f>
        <x:v>0</x:v>
      </x:c>
      <x:c r="P56" s="46" t="str">
        <x:f>IF(OR(N56="",O56=""),"",N56*O56)</x:f>
      </x:c>
      <x:c r="Q56" s="60"/>
      <x:c r="R56" s="61"/>
      <x:c r="S56" s="61"/>
      <x:c r="T56" s="60"/>
      <x:c r="U56" s="60"/>
      <x:c r="V56" s="60"/>
    </x:row>
    <x:row r="57">
      <x:c r="A57" s="39"/>
      <x:c r="B57" s="56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45"/>
      <x:c r="N57" s="45"/>
      <x:c r="O57" s="50" t="n">
        <x:f>IF(H57="Novo",10%,IF(H57="Qualificado",25%,IF(H57="Demonstração",45%,IF(H57="Proposta",70%,IF(H57="Negociação",85%,IF(H57="Ganho",100%,0%))))))</x:f>
        <x:v>0</x:v>
      </x:c>
      <x:c r="P57" s="46" t="str">
        <x:f>IF(OR(N57="",O57=""),"",N57*O57)</x:f>
      </x:c>
      <x:c r="Q57" s="60"/>
      <x:c r="R57" s="61"/>
      <x:c r="S57" s="61"/>
      <x:c r="T57" s="60"/>
      <x:c r="U57" s="60"/>
      <x:c r="V57" s="60"/>
    </x:row>
    <x:row r="58">
      <x:c r="A58" s="39"/>
      <x:c r="B58" s="56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45"/>
      <x:c r="N58" s="45"/>
      <x:c r="O58" s="50" t="n">
        <x:f>IF(H58="Novo",10%,IF(H58="Qualificado",25%,IF(H58="Demonstração",45%,IF(H58="Proposta",70%,IF(H58="Negociação",85%,IF(H58="Ganho",100%,0%))))))</x:f>
        <x:v>0</x:v>
      </x:c>
      <x:c r="P58" s="46" t="str">
        <x:f>IF(OR(N58="",O58=""),"",N58*O58)</x:f>
      </x:c>
      <x:c r="Q58" s="60"/>
      <x:c r="R58" s="61"/>
      <x:c r="S58" s="61"/>
      <x:c r="T58" s="60"/>
      <x:c r="U58" s="60"/>
      <x:c r="V58" s="60"/>
    </x:row>
    <x:row r="59">
      <x:c r="A59" s="39"/>
      <x:c r="B59" s="56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45"/>
      <x:c r="N59" s="45"/>
      <x:c r="O59" s="50" t="n">
        <x:f>IF(H59="Novo",10%,IF(H59="Qualificado",25%,IF(H59="Demonstração",45%,IF(H59="Proposta",70%,IF(H59="Negociação",85%,IF(H59="Ganho",100%,0%))))))</x:f>
        <x:v>0</x:v>
      </x:c>
      <x:c r="P59" s="46" t="str">
        <x:f>IF(OR(N59="",O59=""),"",N59*O59)</x:f>
      </x:c>
      <x:c r="Q59" s="60"/>
      <x:c r="R59" s="61"/>
      <x:c r="S59" s="61"/>
      <x:c r="T59" s="60"/>
      <x:c r="U59" s="60"/>
      <x:c r="V59" s="60"/>
    </x:row>
    <x:row r="60">
      <x:c r="A60" s="39"/>
      <x:c r="B60" s="56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45"/>
      <x:c r="N60" s="45"/>
      <x:c r="O60" s="50" t="n">
        <x:f>IF(H60="Novo",10%,IF(H60="Qualificado",25%,IF(H60="Demonstração",45%,IF(H60="Proposta",70%,IF(H60="Negociação",85%,IF(H60="Ganho",100%,0%))))))</x:f>
        <x:v>0</x:v>
      </x:c>
      <x:c r="P60" s="46" t="str">
        <x:f>IF(OR(N60="",O60=""),"",N60*O60)</x:f>
      </x:c>
      <x:c r="Q60" s="60"/>
      <x:c r="R60" s="61"/>
      <x:c r="S60" s="61"/>
      <x:c r="T60" s="60"/>
      <x:c r="U60" s="60"/>
      <x:c r="V60" s="60"/>
    </x:row>
    <x:row r="61">
      <x:c r="A61" s="39"/>
      <x:c r="B61" s="56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45"/>
      <x:c r="N61" s="45"/>
      <x:c r="O61" s="50" t="n">
        <x:f>IF(H61="Novo",10%,IF(H61="Qualificado",25%,IF(H61="Demonstração",45%,IF(H61="Proposta",70%,IF(H61="Negociação",85%,IF(H61="Ganho",100%,0%))))))</x:f>
        <x:v>0</x:v>
      </x:c>
      <x:c r="P61" s="46" t="str">
        <x:f>IF(OR(N61="",O61=""),"",N61*O61)</x:f>
      </x:c>
      <x:c r="Q61" s="60"/>
      <x:c r="R61" s="61"/>
      <x:c r="S61" s="61"/>
      <x:c r="T61" s="60"/>
      <x:c r="U61" s="60"/>
      <x:c r="V61" s="60"/>
    </x:row>
    <x:row r="62">
      <x:c r="A62" s="39"/>
      <x:c r="B62" s="56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45"/>
      <x:c r="N62" s="45"/>
      <x:c r="O62" s="50" t="n">
        <x:f>IF(H62="Novo",10%,IF(H62="Qualificado",25%,IF(H62="Demonstração",45%,IF(H62="Proposta",70%,IF(H62="Negociação",85%,IF(H62="Ganho",100%,0%))))))</x:f>
        <x:v>0</x:v>
      </x:c>
      <x:c r="P62" s="46" t="str">
        <x:f>IF(OR(N62="",O62=""),"",N62*O62)</x:f>
      </x:c>
      <x:c r="Q62" s="60"/>
      <x:c r="R62" s="61"/>
      <x:c r="S62" s="61"/>
      <x:c r="T62" s="60"/>
      <x:c r="U62" s="60"/>
      <x:c r="V62" s="60"/>
    </x:row>
    <x:row r="63">
      <x:c r="A63" s="39"/>
      <x:c r="B63" s="56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45"/>
      <x:c r="N63" s="45"/>
      <x:c r="O63" s="50" t="n">
        <x:f>IF(H63="Novo",10%,IF(H63="Qualificado",25%,IF(H63="Demonstração",45%,IF(H63="Proposta",70%,IF(H63="Negociação",85%,IF(H63="Ganho",100%,0%))))))</x:f>
        <x:v>0</x:v>
      </x:c>
      <x:c r="P63" s="46" t="str">
        <x:f>IF(OR(N63="",O63=""),"",N63*O63)</x:f>
      </x:c>
      <x:c r="Q63" s="60"/>
      <x:c r="R63" s="61"/>
      <x:c r="S63" s="61"/>
      <x:c r="T63" s="60"/>
      <x:c r="U63" s="60"/>
      <x:c r="V63" s="60"/>
    </x:row>
    <x:row r="64">
      <x:c r="A64" s="39"/>
      <x:c r="B64" s="56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45"/>
      <x:c r="N64" s="45"/>
      <x:c r="O64" s="50" t="n">
        <x:f>IF(H64="Novo",10%,IF(H64="Qualificado",25%,IF(H64="Demonstração",45%,IF(H64="Proposta",70%,IF(H64="Negociação",85%,IF(H64="Ganho",100%,0%))))))</x:f>
        <x:v>0</x:v>
      </x:c>
      <x:c r="P64" s="46" t="str">
        <x:f>IF(OR(N64="",O64=""),"",N64*O64)</x:f>
      </x:c>
      <x:c r="Q64" s="60"/>
      <x:c r="R64" s="61"/>
      <x:c r="S64" s="61"/>
      <x:c r="T64" s="60"/>
      <x:c r="U64" s="60"/>
      <x:c r="V64" s="60"/>
    </x:row>
    <x:row r="65">
      <x:c r="A65" s="39"/>
      <x:c r="B65" s="56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45"/>
      <x:c r="N65" s="45"/>
      <x:c r="O65" s="50" t="n">
        <x:f>IF(H65="Novo",10%,IF(H65="Qualificado",25%,IF(H65="Demonstração",45%,IF(H65="Proposta",70%,IF(H65="Negociação",85%,IF(H65="Ganho",100%,0%))))))</x:f>
        <x:v>0</x:v>
      </x:c>
      <x:c r="P65" s="46" t="str">
        <x:f>IF(OR(N65="",O65=""),"",N65*O65)</x:f>
      </x:c>
      <x:c r="Q65" s="60"/>
      <x:c r="R65" s="61"/>
      <x:c r="S65" s="61"/>
      <x:c r="T65" s="60"/>
      <x:c r="U65" s="60"/>
      <x:c r="V65" s="60"/>
    </x:row>
    <x:row r="66">
      <x:c r="A66" s="39"/>
      <x:c r="B66" s="56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45"/>
      <x:c r="N66" s="45"/>
      <x:c r="O66" s="50" t="n">
        <x:f>IF(H66="Novo",10%,IF(H66="Qualificado",25%,IF(H66="Demonstração",45%,IF(H66="Proposta",70%,IF(H66="Negociação",85%,IF(H66="Ganho",100%,0%))))))</x:f>
        <x:v>0</x:v>
      </x:c>
      <x:c r="P66" s="46" t="str">
        <x:f>IF(OR(N66="",O66=""),"",N66*O66)</x:f>
      </x:c>
      <x:c r="Q66" s="60"/>
      <x:c r="R66" s="61"/>
      <x:c r="S66" s="61"/>
      <x:c r="T66" s="60"/>
      <x:c r="U66" s="60"/>
      <x:c r="V66" s="60"/>
    </x:row>
    <x:row r="67">
      <x:c r="A67" s="39"/>
      <x:c r="B67" s="56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45"/>
      <x:c r="N67" s="45"/>
      <x:c r="O67" s="50" t="n">
        <x:f>IF(H67="Novo",10%,IF(H67="Qualificado",25%,IF(H67="Demonstração",45%,IF(H67="Proposta",70%,IF(H67="Negociação",85%,IF(H67="Ganho",100%,0%))))))</x:f>
        <x:v>0</x:v>
      </x:c>
      <x:c r="P67" s="46" t="str">
        <x:f>IF(OR(N67="",O67=""),"",N67*O67)</x:f>
      </x:c>
      <x:c r="Q67" s="60"/>
      <x:c r="R67" s="61"/>
      <x:c r="S67" s="61"/>
      <x:c r="T67" s="60"/>
      <x:c r="U67" s="60"/>
      <x:c r="V67" s="60"/>
    </x:row>
    <x:row r="68">
      <x:c r="A68" s="39"/>
      <x:c r="B68" s="56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45"/>
      <x:c r="N68" s="45"/>
      <x:c r="O68" s="50" t="n">
        <x:f>IF(H68="Novo",10%,IF(H68="Qualificado",25%,IF(H68="Demonstração",45%,IF(H68="Proposta",70%,IF(H68="Negociação",85%,IF(H68="Ganho",100%,0%))))))</x:f>
        <x:v>0</x:v>
      </x:c>
      <x:c r="P68" s="46" t="str">
        <x:f>IF(OR(N68="",O68=""),"",N68*O68)</x:f>
      </x:c>
      <x:c r="Q68" s="60"/>
      <x:c r="R68" s="61"/>
      <x:c r="S68" s="61"/>
      <x:c r="T68" s="60"/>
      <x:c r="U68" s="60"/>
      <x:c r="V68" s="60"/>
    </x:row>
    <x:row r="69">
      <x:c r="A69" s="39"/>
      <x:c r="B69" s="56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45"/>
      <x:c r="N69" s="45"/>
      <x:c r="O69" s="50" t="n">
        <x:f>IF(H69="Novo",10%,IF(H69="Qualificado",25%,IF(H69="Demonstração",45%,IF(H69="Proposta",70%,IF(H69="Negociação",85%,IF(H69="Ganho",100%,0%))))))</x:f>
        <x:v>0</x:v>
      </x:c>
      <x:c r="P69" s="46" t="str">
        <x:f>IF(OR(N69="",O69=""),"",N69*O69)</x:f>
      </x:c>
      <x:c r="Q69" s="60"/>
      <x:c r="R69" s="61"/>
      <x:c r="S69" s="61"/>
      <x:c r="T69" s="60"/>
      <x:c r="U69" s="60"/>
      <x:c r="V69" s="60"/>
    </x:row>
    <x:row r="70">
      <x:c r="A70" s="39"/>
      <x:c r="B70" s="56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45"/>
      <x:c r="N70" s="45"/>
      <x:c r="O70" s="50" t="n">
        <x:f>IF(H70="Novo",10%,IF(H70="Qualificado",25%,IF(H70="Demonstração",45%,IF(H70="Proposta",70%,IF(H70="Negociação",85%,IF(H70="Ganho",100%,0%))))))</x:f>
        <x:v>0</x:v>
      </x:c>
      <x:c r="P70" s="46" t="str">
        <x:f>IF(OR(N70="",O70=""),"",N70*O70)</x:f>
      </x:c>
      <x:c r="Q70" s="60"/>
      <x:c r="R70" s="61"/>
      <x:c r="S70" s="61"/>
      <x:c r="T70" s="60"/>
      <x:c r="U70" s="60"/>
      <x:c r="V70" s="60"/>
    </x:row>
    <x:row r="71">
      <x:c r="A71" s="39"/>
      <x:c r="B71" s="56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45"/>
      <x:c r="N71" s="45"/>
      <x:c r="O71" s="50" t="n">
        <x:f>IF(H71="Novo",10%,IF(H71="Qualificado",25%,IF(H71="Demonstração",45%,IF(H71="Proposta",70%,IF(H71="Negociação",85%,IF(H71="Ganho",100%,0%))))))</x:f>
        <x:v>0</x:v>
      </x:c>
      <x:c r="P71" s="46" t="str">
        <x:f>IF(OR(N71="",O71=""),"",N71*O71)</x:f>
      </x:c>
      <x:c r="Q71" s="60"/>
      <x:c r="R71" s="61"/>
      <x:c r="S71" s="61"/>
      <x:c r="T71" s="60"/>
      <x:c r="U71" s="60"/>
      <x:c r="V71" s="60"/>
    </x:row>
    <x:row r="72">
      <x:c r="A72" s="39"/>
      <x:c r="B72" s="56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45"/>
      <x:c r="N72" s="45"/>
      <x:c r="O72" s="50" t="n">
        <x:f>IF(H72="Novo",10%,IF(H72="Qualificado",25%,IF(H72="Demonstração",45%,IF(H72="Proposta",70%,IF(H72="Negociação",85%,IF(H72="Ganho",100%,0%))))))</x:f>
        <x:v>0</x:v>
      </x:c>
      <x:c r="P72" s="46" t="str">
        <x:f>IF(OR(N72="",O72=""),"",N72*O72)</x:f>
      </x:c>
      <x:c r="Q72" s="60"/>
      <x:c r="R72" s="61"/>
      <x:c r="S72" s="61"/>
      <x:c r="T72" s="60"/>
      <x:c r="U72" s="60"/>
      <x:c r="V72" s="60"/>
    </x:row>
    <x:row r="73">
      <x:c r="A73" s="39"/>
      <x:c r="B73" s="56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45"/>
      <x:c r="N73" s="45"/>
      <x:c r="O73" s="50" t="n">
        <x:f>IF(H73="Novo",10%,IF(H73="Qualificado",25%,IF(H73="Demonstração",45%,IF(H73="Proposta",70%,IF(H73="Negociação",85%,IF(H73="Ganho",100%,0%))))))</x:f>
        <x:v>0</x:v>
      </x:c>
      <x:c r="P73" s="46" t="str">
        <x:f>IF(OR(N73="",O73=""),"",N73*O73)</x:f>
      </x:c>
      <x:c r="Q73" s="60"/>
      <x:c r="R73" s="61"/>
      <x:c r="S73" s="61"/>
      <x:c r="T73" s="60"/>
      <x:c r="U73" s="60"/>
      <x:c r="V73" s="60"/>
    </x:row>
    <x:row r="74">
      <x:c r="A74" s="39"/>
      <x:c r="B74" s="56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45"/>
      <x:c r="N74" s="45"/>
      <x:c r="O74" s="50" t="n">
        <x:f>IF(H74="Novo",10%,IF(H74="Qualificado",25%,IF(H74="Demonstração",45%,IF(H74="Proposta",70%,IF(H74="Negociação",85%,IF(H74="Ganho",100%,0%))))))</x:f>
        <x:v>0</x:v>
      </x:c>
      <x:c r="P74" s="46" t="str">
        <x:f>IF(OR(N74="",O74=""),"",N74*O74)</x:f>
      </x:c>
      <x:c r="Q74" s="60"/>
      <x:c r="R74" s="61"/>
      <x:c r="S74" s="61"/>
      <x:c r="T74" s="60"/>
      <x:c r="U74" s="60"/>
      <x:c r="V74" s="60"/>
    </x:row>
    <x:row r="75">
      <x:c r="A75" s="39"/>
      <x:c r="B75" s="56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45"/>
      <x:c r="N75" s="45"/>
      <x:c r="O75" s="50" t="n">
        <x:f>IF(H75="Novo",10%,IF(H75="Qualificado",25%,IF(H75="Demonstração",45%,IF(H75="Proposta",70%,IF(H75="Negociação",85%,IF(H75="Ganho",100%,0%))))))</x:f>
        <x:v>0</x:v>
      </x:c>
      <x:c r="P75" s="46" t="str">
        <x:f>IF(OR(N75="",O75=""),"",N75*O75)</x:f>
      </x:c>
      <x:c r="Q75" s="60"/>
      <x:c r="R75" s="61"/>
      <x:c r="S75" s="61"/>
      <x:c r="T75" s="60"/>
      <x:c r="U75" s="60"/>
      <x:c r="V75" s="60"/>
    </x:row>
    <x:row r="76">
      <x:c r="A76" s="39"/>
      <x:c r="B76" s="56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45"/>
      <x:c r="N76" s="45"/>
      <x:c r="O76" s="50" t="n">
        <x:f>IF(H76="Novo",10%,IF(H76="Qualificado",25%,IF(H76="Demonstração",45%,IF(H76="Proposta",70%,IF(H76="Negociação",85%,IF(H76="Ganho",100%,0%))))))</x:f>
        <x:v>0</x:v>
      </x:c>
      <x:c r="P76" s="46" t="str">
        <x:f>IF(OR(N76="",O76=""),"",N76*O76)</x:f>
      </x:c>
      <x:c r="Q76" s="60"/>
      <x:c r="R76" s="61"/>
      <x:c r="S76" s="61"/>
      <x:c r="T76" s="60"/>
      <x:c r="U76" s="60"/>
      <x:c r="V76" s="60"/>
    </x:row>
    <x:row r="77">
      <x:c r="A77" s="39"/>
      <x:c r="B77" s="56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45"/>
      <x:c r="N77" s="45"/>
      <x:c r="O77" s="50" t="n">
        <x:f>IF(H77="Novo",10%,IF(H77="Qualificado",25%,IF(H77="Demonstração",45%,IF(H77="Proposta",70%,IF(H77="Negociação",85%,IF(H77="Ganho",100%,0%))))))</x:f>
        <x:v>0</x:v>
      </x:c>
      <x:c r="P77" s="46" t="str">
        <x:f>IF(OR(N77="",O77=""),"",N77*O77)</x:f>
      </x:c>
      <x:c r="Q77" s="60"/>
      <x:c r="R77" s="61"/>
      <x:c r="S77" s="61"/>
      <x:c r="T77" s="60"/>
      <x:c r="U77" s="60"/>
      <x:c r="V77" s="60"/>
    </x:row>
    <x:row r="78">
      <x:c r="A78" s="39"/>
      <x:c r="B78" s="56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45"/>
      <x:c r="N78" s="45"/>
      <x:c r="O78" s="50" t="n">
        <x:f>IF(H78="Novo",10%,IF(H78="Qualificado",25%,IF(H78="Demonstração",45%,IF(H78="Proposta",70%,IF(H78="Negociação",85%,IF(H78="Ganho",100%,0%))))))</x:f>
        <x:v>0</x:v>
      </x:c>
      <x:c r="P78" s="46" t="str">
        <x:f>IF(OR(N78="",O78=""),"",N78*O78)</x:f>
      </x:c>
      <x:c r="Q78" s="60"/>
      <x:c r="R78" s="61"/>
      <x:c r="S78" s="61"/>
      <x:c r="T78" s="60"/>
      <x:c r="U78" s="60"/>
      <x:c r="V78" s="60"/>
    </x:row>
    <x:row r="79">
      <x:c r="A79" s="39"/>
      <x:c r="B79" s="56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45"/>
      <x:c r="N79" s="45"/>
      <x:c r="O79" s="50" t="n">
        <x:f>IF(H79="Novo",10%,IF(H79="Qualificado",25%,IF(H79="Demonstração",45%,IF(H79="Proposta",70%,IF(H79="Negociação",85%,IF(H79="Ganho",100%,0%))))))</x:f>
        <x:v>0</x:v>
      </x:c>
      <x:c r="P79" s="46" t="str">
        <x:f>IF(OR(N79="",O79=""),"",N79*O79)</x:f>
      </x:c>
      <x:c r="Q79" s="60"/>
      <x:c r="R79" s="61"/>
      <x:c r="S79" s="61"/>
      <x:c r="T79" s="60"/>
      <x:c r="U79" s="60"/>
      <x:c r="V79" s="60"/>
    </x:row>
    <x:row r="80">
      <x:c r="A80" s="39"/>
      <x:c r="B80" s="56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45"/>
      <x:c r="N80" s="45"/>
      <x:c r="O80" s="50" t="n">
        <x:f>IF(H80="Novo",10%,IF(H80="Qualificado",25%,IF(H80="Demonstração",45%,IF(H80="Proposta",70%,IF(H80="Negociação",85%,IF(H80="Ganho",100%,0%))))))</x:f>
        <x:v>0</x:v>
      </x:c>
      <x:c r="P80" s="46" t="str">
        <x:f>IF(OR(N80="",O80=""),"",N80*O80)</x:f>
      </x:c>
      <x:c r="Q80" s="60"/>
      <x:c r="R80" s="61"/>
      <x:c r="S80" s="61"/>
      <x:c r="T80" s="60"/>
      <x:c r="U80" s="60"/>
      <x:c r="V80" s="60"/>
    </x:row>
    <x:row r="81">
      <x:c r="A81" s="39"/>
      <x:c r="B81" s="56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45"/>
      <x:c r="N81" s="45"/>
      <x:c r="O81" s="50" t="n">
        <x:f>IF(H81="Novo",10%,IF(H81="Qualificado",25%,IF(H81="Demonstração",45%,IF(H81="Proposta",70%,IF(H81="Negociação",85%,IF(H81="Ganho",100%,0%))))))</x:f>
        <x:v>0</x:v>
      </x:c>
      <x:c r="P81" s="46" t="str">
        <x:f>IF(OR(N81="",O81=""),"",N81*O81)</x:f>
      </x:c>
      <x:c r="Q81" s="60"/>
      <x:c r="R81" s="61"/>
      <x:c r="S81" s="61"/>
      <x:c r="T81" s="60"/>
      <x:c r="U81" s="60"/>
      <x:c r="V81" s="60"/>
    </x:row>
    <x:row r="82">
      <x:c r="A82" s="39"/>
      <x:c r="B82" s="56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45"/>
      <x:c r="N82" s="45"/>
      <x:c r="O82" s="50" t="n">
        <x:f>IF(H82="Novo",10%,IF(H82="Qualificado",25%,IF(H82="Demonstração",45%,IF(H82="Proposta",70%,IF(H82="Negociação",85%,IF(H82="Ganho",100%,0%))))))</x:f>
        <x:v>0</x:v>
      </x:c>
      <x:c r="P82" s="46" t="str">
        <x:f>IF(OR(N82="",O82=""),"",N82*O82)</x:f>
      </x:c>
      <x:c r="Q82" s="60"/>
      <x:c r="R82" s="61"/>
      <x:c r="S82" s="61"/>
      <x:c r="T82" s="60"/>
      <x:c r="U82" s="60"/>
      <x:c r="V82" s="60"/>
    </x:row>
    <x:row r="83">
      <x:c r="A83" s="39"/>
      <x:c r="B83" s="56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45"/>
      <x:c r="N83" s="45"/>
      <x:c r="O83" s="50" t="n">
        <x:f>IF(H83="Novo",10%,IF(H83="Qualificado",25%,IF(H83="Demonstração",45%,IF(H83="Proposta",70%,IF(H83="Negociação",85%,IF(H83="Ganho",100%,0%))))))</x:f>
        <x:v>0</x:v>
      </x:c>
      <x:c r="P83" s="46" t="str">
        <x:f>IF(OR(N83="",O83=""),"",N83*O83)</x:f>
      </x:c>
      <x:c r="Q83" s="60"/>
      <x:c r="R83" s="61"/>
      <x:c r="S83" s="61"/>
      <x:c r="T83" s="60"/>
      <x:c r="U83" s="60"/>
      <x:c r="V83" s="60"/>
    </x:row>
    <x:row r="84">
      <x:c r="A84" s="39"/>
      <x:c r="B84" s="56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45"/>
      <x:c r="N84" s="45"/>
      <x:c r="O84" s="50" t="n">
        <x:f>IF(H84="Novo",10%,IF(H84="Qualificado",25%,IF(H84="Demonstração",45%,IF(H84="Proposta",70%,IF(H84="Negociação",85%,IF(H84="Ganho",100%,0%))))))</x:f>
        <x:v>0</x:v>
      </x:c>
      <x:c r="P84" s="46" t="str">
        <x:f>IF(OR(N84="",O84=""),"",N84*O84)</x:f>
      </x:c>
      <x:c r="Q84" s="60"/>
      <x:c r="R84" s="61"/>
      <x:c r="S84" s="61"/>
      <x:c r="T84" s="60"/>
      <x:c r="U84" s="60"/>
      <x:c r="V84" s="60"/>
    </x:row>
    <x:row r="85">
      <x:c r="A85" s="39"/>
      <x:c r="B85" s="56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45"/>
      <x:c r="N85" s="45"/>
      <x:c r="O85" s="50" t="n">
        <x:f>IF(H85="Novo",10%,IF(H85="Qualificado",25%,IF(H85="Demonstração",45%,IF(H85="Proposta",70%,IF(H85="Negociação",85%,IF(H85="Ganho",100%,0%))))))</x:f>
        <x:v>0</x:v>
      </x:c>
      <x:c r="P85" s="46" t="str">
        <x:f>IF(OR(N85="",O85=""),"",N85*O85)</x:f>
      </x:c>
      <x:c r="Q85" s="60"/>
      <x:c r="R85" s="61"/>
      <x:c r="S85" s="61"/>
      <x:c r="T85" s="60"/>
      <x:c r="U85" s="60"/>
      <x:c r="V85" s="60"/>
    </x:row>
    <x:row r="86">
      <x:c r="A86" s="39"/>
      <x:c r="B86" s="56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45"/>
      <x:c r="N86" s="45"/>
      <x:c r="O86" s="50" t="n">
        <x:f>IF(H86="Novo",10%,IF(H86="Qualificado",25%,IF(H86="Demonstração",45%,IF(H86="Proposta",70%,IF(H86="Negociação",85%,IF(H86="Ganho",100%,0%))))))</x:f>
        <x:v>0</x:v>
      </x:c>
      <x:c r="P86" s="46" t="str">
        <x:f>IF(OR(N86="",O86=""),"",N86*O86)</x:f>
      </x:c>
      <x:c r="Q86" s="60"/>
      <x:c r="R86" s="61"/>
      <x:c r="S86" s="61"/>
      <x:c r="T86" s="60"/>
      <x:c r="U86" s="60"/>
      <x:c r="V86" s="60"/>
    </x:row>
    <x:row r="87">
      <x:c r="A87" s="39"/>
      <x:c r="B87" s="56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45"/>
      <x:c r="N87" s="45"/>
      <x:c r="O87" s="50" t="n">
        <x:f>IF(H87="Novo",10%,IF(H87="Qualificado",25%,IF(H87="Demonstração",45%,IF(H87="Proposta",70%,IF(H87="Negociação",85%,IF(H87="Ganho",100%,0%))))))</x:f>
        <x:v>0</x:v>
      </x:c>
      <x:c r="P87" s="46" t="str">
        <x:f>IF(OR(N87="",O87=""),"",N87*O87)</x:f>
      </x:c>
      <x:c r="Q87" s="60"/>
      <x:c r="R87" s="61"/>
      <x:c r="S87" s="61"/>
      <x:c r="T87" s="60"/>
      <x:c r="U87" s="60"/>
      <x:c r="V87" s="60"/>
    </x:row>
    <x:row r="88">
      <x:c r="A88" s="39"/>
      <x:c r="B88" s="56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45"/>
      <x:c r="N88" s="45"/>
      <x:c r="O88" s="50" t="n">
        <x:f>IF(H88="Novo",10%,IF(H88="Qualificado",25%,IF(H88="Demonstração",45%,IF(H88="Proposta",70%,IF(H88="Negociação",85%,IF(H88="Ganho",100%,0%))))))</x:f>
        <x:v>0</x:v>
      </x:c>
      <x:c r="P88" s="46" t="str">
        <x:f>IF(OR(N88="",O88=""),"",N88*O88)</x:f>
      </x:c>
      <x:c r="Q88" s="60"/>
      <x:c r="R88" s="61"/>
      <x:c r="S88" s="61"/>
      <x:c r="T88" s="60"/>
      <x:c r="U88" s="60"/>
      <x:c r="V88" s="60"/>
    </x:row>
    <x:row r="89">
      <x:c r="A89" s="39"/>
      <x:c r="B89" s="56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45"/>
      <x:c r="N89" s="45"/>
      <x:c r="O89" s="50" t="n">
        <x:f>IF(H89="Novo",10%,IF(H89="Qualificado",25%,IF(H89="Demonstração",45%,IF(H89="Proposta",70%,IF(H89="Negociação",85%,IF(H89="Ganho",100%,0%))))))</x:f>
        <x:v>0</x:v>
      </x:c>
      <x:c r="P89" s="46" t="str">
        <x:f>IF(OR(N89="",O89=""),"",N89*O89)</x:f>
      </x:c>
      <x:c r="Q89" s="60"/>
      <x:c r="R89" s="61"/>
      <x:c r="S89" s="61"/>
      <x:c r="T89" s="60"/>
      <x:c r="U89" s="60"/>
      <x:c r="V89" s="60"/>
    </x:row>
    <x:row r="90">
      <x:c r="A90" s="39"/>
      <x:c r="B90" s="56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45"/>
      <x:c r="N90" s="45"/>
      <x:c r="O90" s="50" t="n">
        <x:f>IF(H90="Novo",10%,IF(H90="Qualificado",25%,IF(H90="Demonstração",45%,IF(H90="Proposta",70%,IF(H90="Negociação",85%,IF(H90="Ganho",100%,0%))))))</x:f>
        <x:v>0</x:v>
      </x:c>
      <x:c r="P90" s="46" t="str">
        <x:f>IF(OR(N90="",O90=""),"",N90*O90)</x:f>
      </x:c>
      <x:c r="Q90" s="60"/>
      <x:c r="R90" s="61"/>
      <x:c r="S90" s="61"/>
      <x:c r="T90" s="60"/>
      <x:c r="U90" s="60"/>
      <x:c r="V90" s="60"/>
    </x:row>
    <x:row r="91">
      <x:c r="A91" s="39"/>
      <x:c r="B91" s="56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45"/>
      <x:c r="N91" s="45"/>
      <x:c r="O91" s="50" t="n">
        <x:f>IF(H91="Novo",10%,IF(H91="Qualificado",25%,IF(H91="Demonstração",45%,IF(H91="Proposta",70%,IF(H91="Negociação",85%,IF(H91="Ganho",100%,0%))))))</x:f>
        <x:v>0</x:v>
      </x:c>
      <x:c r="P91" s="46" t="str">
        <x:f>IF(OR(N91="",O91=""),"",N91*O91)</x:f>
      </x:c>
      <x:c r="Q91" s="60"/>
      <x:c r="R91" s="61"/>
      <x:c r="S91" s="61"/>
      <x:c r="T91" s="60"/>
      <x:c r="U91" s="60"/>
      <x:c r="V91" s="60"/>
    </x:row>
    <x:row r="92">
      <x:c r="A92" s="39"/>
      <x:c r="B92" s="56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45"/>
      <x:c r="N92" s="45"/>
      <x:c r="O92" s="50" t="n">
        <x:f>IF(H92="Novo",10%,IF(H92="Qualificado",25%,IF(H92="Demonstração",45%,IF(H92="Proposta",70%,IF(H92="Negociação",85%,IF(H92="Ganho",100%,0%))))))</x:f>
        <x:v>0</x:v>
      </x:c>
      <x:c r="P92" s="46" t="str">
        <x:f>IF(OR(N92="",O92=""),"",N92*O92)</x:f>
      </x:c>
      <x:c r="Q92" s="60"/>
      <x:c r="R92" s="61"/>
      <x:c r="S92" s="61"/>
      <x:c r="T92" s="60"/>
      <x:c r="U92" s="60"/>
      <x:c r="V92" s="60"/>
    </x:row>
    <x:row r="93">
      <x:c r="A93" s="39"/>
      <x:c r="B93" s="56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45"/>
      <x:c r="N93" s="45"/>
      <x:c r="O93" s="50" t="n">
        <x:f>IF(H93="Novo",10%,IF(H93="Qualificado",25%,IF(H93="Demonstração",45%,IF(H93="Proposta",70%,IF(H93="Negociação",85%,IF(H93="Ganho",100%,0%))))))</x:f>
        <x:v>0</x:v>
      </x:c>
      <x:c r="P93" s="46" t="str">
        <x:f>IF(OR(N93="",O93=""),"",N93*O93)</x:f>
      </x:c>
      <x:c r="Q93" s="60"/>
      <x:c r="R93" s="61"/>
      <x:c r="S93" s="61"/>
      <x:c r="T93" s="60"/>
      <x:c r="U93" s="60"/>
      <x:c r="V93" s="60"/>
    </x:row>
    <x:row r="94">
      <x:c r="A94" s="39"/>
      <x:c r="B94" s="56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45"/>
      <x:c r="N94" s="45"/>
      <x:c r="O94" s="50" t="n">
        <x:f>IF(H94="Novo",10%,IF(H94="Qualificado",25%,IF(H94="Demonstração",45%,IF(H94="Proposta",70%,IF(H94="Negociação",85%,IF(H94="Ganho",100%,0%))))))</x:f>
        <x:v>0</x:v>
      </x:c>
      <x:c r="P94" s="46" t="str">
        <x:f>IF(OR(N94="",O94=""),"",N94*O94)</x:f>
      </x:c>
      <x:c r="Q94" s="60"/>
      <x:c r="R94" s="61"/>
      <x:c r="S94" s="61"/>
      <x:c r="T94" s="60"/>
      <x:c r="U94" s="60"/>
      <x:c r="V94" s="60"/>
    </x:row>
    <x:row r="95">
      <x:c r="A95" s="39"/>
      <x:c r="B95" s="56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45"/>
      <x:c r="N95" s="45"/>
      <x:c r="O95" s="50" t="n">
        <x:f>IF(H95="Novo",10%,IF(H95="Qualificado",25%,IF(H95="Demonstração",45%,IF(H95="Proposta",70%,IF(H95="Negociação",85%,IF(H95="Ganho",100%,0%))))))</x:f>
        <x:v>0</x:v>
      </x:c>
      <x:c r="P95" s="46" t="str">
        <x:f>IF(OR(N95="",O95=""),"",N95*O95)</x:f>
      </x:c>
      <x:c r="Q95" s="60"/>
      <x:c r="R95" s="61"/>
      <x:c r="S95" s="61"/>
      <x:c r="T95" s="60"/>
      <x:c r="U95" s="60"/>
      <x:c r="V95" s="60"/>
    </x:row>
    <x:row r="96">
      <x:c r="A96" s="39"/>
      <x:c r="B96" s="56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45"/>
      <x:c r="N96" s="45"/>
      <x:c r="O96" s="50" t="n">
        <x:f>IF(H96="Novo",10%,IF(H96="Qualificado",25%,IF(H96="Demonstração",45%,IF(H96="Proposta",70%,IF(H96="Negociação",85%,IF(H96="Ganho",100%,0%))))))</x:f>
        <x:v>0</x:v>
      </x:c>
      <x:c r="P96" s="46" t="str">
        <x:f>IF(OR(N96="",O96=""),"",N96*O96)</x:f>
      </x:c>
      <x:c r="Q96" s="60"/>
      <x:c r="R96" s="61"/>
      <x:c r="S96" s="61"/>
      <x:c r="T96" s="60"/>
      <x:c r="U96" s="60"/>
      <x:c r="V96" s="60"/>
    </x:row>
    <x:row r="97">
      <x:c r="A97" s="39"/>
      <x:c r="B97" s="56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45"/>
      <x:c r="N97" s="45"/>
      <x:c r="O97" s="50" t="n">
        <x:f>IF(H97="Novo",10%,IF(H97="Qualificado",25%,IF(H97="Demonstração",45%,IF(H97="Proposta",70%,IF(H97="Negociação",85%,IF(H97="Ganho",100%,0%))))))</x:f>
        <x:v>0</x:v>
      </x:c>
      <x:c r="P97" s="46" t="str">
        <x:f>IF(OR(N97="",O97=""),"",N97*O97)</x:f>
      </x:c>
      <x:c r="Q97" s="60"/>
      <x:c r="R97" s="61"/>
      <x:c r="S97" s="61"/>
      <x:c r="T97" s="60"/>
      <x:c r="U97" s="60"/>
      <x:c r="V97" s="60"/>
    </x:row>
    <x:row r="98">
      <x:c r="A98" s="39"/>
      <x:c r="B98" s="56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45"/>
      <x:c r="N98" s="45"/>
      <x:c r="O98" s="50" t="n">
        <x:f>IF(H98="Novo",10%,IF(H98="Qualificado",25%,IF(H98="Demonstração",45%,IF(H98="Proposta",70%,IF(H98="Negociação",85%,IF(H98="Ganho",100%,0%))))))</x:f>
        <x:v>0</x:v>
      </x:c>
      <x:c r="P98" s="46" t="str">
        <x:f>IF(OR(N98="",O98=""),"",N98*O98)</x:f>
      </x:c>
      <x:c r="Q98" s="60"/>
      <x:c r="R98" s="61"/>
      <x:c r="S98" s="61"/>
      <x:c r="T98" s="60"/>
      <x:c r="U98" s="60"/>
      <x:c r="V98" s="60"/>
    </x:row>
    <x:row r="99">
      <x:c r="A99" s="39"/>
      <x:c r="B99" s="56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45"/>
      <x:c r="N99" s="45"/>
      <x:c r="O99" s="50" t="n">
        <x:f>IF(H99="Novo",10%,IF(H99="Qualificado",25%,IF(H99="Demonstração",45%,IF(H99="Proposta",70%,IF(H99="Negociação",85%,IF(H99="Ganho",100%,0%))))))</x:f>
        <x:v>0</x:v>
      </x:c>
      <x:c r="P99" s="46" t="str">
        <x:f>IF(OR(N99="",O99=""),"",N99*O99)</x:f>
      </x:c>
      <x:c r="Q99" s="60"/>
      <x:c r="R99" s="61"/>
      <x:c r="S99" s="61"/>
      <x:c r="T99" s="60"/>
      <x:c r="U99" s="60"/>
      <x:c r="V99" s="60"/>
    </x:row>
    <x:row r="100">
      <x:c r="A100" s="39"/>
      <x:c r="B100" s="56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45"/>
      <x:c r="N100" s="45"/>
      <x:c r="O100" s="50" t="n">
        <x:f>IF(H100="Novo",10%,IF(H100="Qualificado",25%,IF(H100="Demonstração",45%,IF(H100="Proposta",70%,IF(H100="Negociação",85%,IF(H100="Ganho",100%,0%))))))</x:f>
        <x:v>0</x:v>
      </x:c>
      <x:c r="P100" s="46" t="str">
        <x:f>IF(OR(N100="",O100=""),"",N100*O100)</x:f>
      </x:c>
      <x:c r="Q100" s="60"/>
      <x:c r="R100" s="61"/>
      <x:c r="S100" s="61"/>
      <x:c r="T100" s="60"/>
      <x:c r="U100" s="60"/>
      <x:c r="V100" s="60"/>
    </x:row>
    <x:row r="101">
      <x:c r="A101" s="39"/>
      <x:c r="B101" s="56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45"/>
      <x:c r="N101" s="45"/>
      <x:c r="O101" s="50" t="n">
        <x:f>IF(H101="Novo",10%,IF(H101="Qualificado",25%,IF(H101="Demonstração",45%,IF(H101="Proposta",70%,IF(H101="Negociação",85%,IF(H101="Ganho",100%,0%))))))</x:f>
        <x:v>0</x:v>
      </x:c>
      <x:c r="P101" s="46" t="str">
        <x:f>IF(OR(N101="",O101=""),"",N101*O101)</x:f>
      </x:c>
      <x:c r="Q101" s="60"/>
      <x:c r="R101" s="61"/>
      <x:c r="S101" s="61"/>
      <x:c r="T101" s="60"/>
      <x:c r="U101" s="60"/>
      <x:c r="V101" s="60"/>
    </x:row>
    <x:row r="102">
      <x:c r="A102" s="39"/>
      <x:c r="B102" s="56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45"/>
      <x:c r="N102" s="45"/>
      <x:c r="O102" s="50" t="n">
        <x:f>IF(H102="Novo",10%,IF(H102="Qualificado",25%,IF(H102="Demonstração",45%,IF(H102="Proposta",70%,IF(H102="Negociação",85%,IF(H102="Ganho",100%,0%))))))</x:f>
        <x:v>0</x:v>
      </x:c>
      <x:c r="P102" s="46" t="str">
        <x:f>IF(OR(N102="",O102=""),"",N102*O102)</x:f>
      </x:c>
      <x:c r="Q102" s="60"/>
      <x:c r="R102" s="61"/>
      <x:c r="S102" s="61"/>
      <x:c r="T102" s="60"/>
      <x:c r="U102" s="60"/>
      <x:c r="V102" s="60"/>
    </x:row>
    <x:row r="103">
      <x:c r="A103" s="39"/>
      <x:c r="B103" s="56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45"/>
      <x:c r="N103" s="45"/>
      <x:c r="O103" s="50" t="n">
        <x:f>IF(H103="Novo",10%,IF(H103="Qualificado",25%,IF(H103="Demonstração",45%,IF(H103="Proposta",70%,IF(H103="Negociação",85%,IF(H103="Ganho",100%,0%))))))</x:f>
        <x:v>0</x:v>
      </x:c>
      <x:c r="P103" s="46" t="str">
        <x:f>IF(OR(N103="",O103=""),"",N103*O103)</x:f>
      </x:c>
      <x:c r="Q103" s="60"/>
      <x:c r="R103" s="61"/>
      <x:c r="S103" s="61"/>
      <x:c r="T103" s="60"/>
      <x:c r="U103" s="60"/>
      <x:c r="V103" s="60"/>
    </x:row>
    <x:row r="104">
      <x:c r="A104" s="39"/>
      <x:c r="B104" s="56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45"/>
      <x:c r="N104" s="45"/>
      <x:c r="O104" s="50" t="n">
        <x:f>IF(H104="Novo",10%,IF(H104="Qualificado",25%,IF(H104="Demonstração",45%,IF(H104="Proposta",70%,IF(H104="Negociação",85%,IF(H104="Ganho",100%,0%))))))</x:f>
        <x:v>0</x:v>
      </x:c>
      <x:c r="P104" s="46" t="str">
        <x:f>IF(OR(N104="",O104=""),"",N104*O104)</x:f>
      </x:c>
      <x:c r="Q104" s="60"/>
      <x:c r="R104" s="61"/>
      <x:c r="S104" s="61"/>
      <x:c r="T104" s="60"/>
      <x:c r="U104" s="60"/>
      <x:c r="V104" s="60"/>
    </x:row>
    <x:row r="105">
      <x:c r="A105" s="39"/>
      <x:c r="B105" s="56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45"/>
      <x:c r="N105" s="45"/>
      <x:c r="O105" s="50" t="n">
        <x:f>IF(H105="Novo",10%,IF(H105="Qualificado",25%,IF(H105="Demonstração",45%,IF(H105="Proposta",70%,IF(H105="Negociação",85%,IF(H105="Ganho",100%,0%))))))</x:f>
        <x:v>0</x:v>
      </x:c>
      <x:c r="P105" s="46" t="str">
        <x:f>IF(OR(N105="",O105=""),"",N105*O105)</x:f>
      </x:c>
      <x:c r="Q105" s="60"/>
      <x:c r="R105" s="61"/>
      <x:c r="S105" s="61"/>
      <x:c r="T105" s="60"/>
      <x:c r="U105" s="60"/>
      <x:c r="V105" s="60"/>
    </x:row>
    <x:row r="106">
      <x:c r="A106" s="39"/>
      <x:c r="B106" s="56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45"/>
      <x:c r="N106" s="45"/>
      <x:c r="O106" s="50" t="n">
        <x:f>IF(H106="Novo",10%,IF(H106="Qualificado",25%,IF(H106="Demonstração",45%,IF(H106="Proposta",70%,IF(H106="Negociação",85%,IF(H106="Ganho",100%,0%))))))</x:f>
        <x:v>0</x:v>
      </x:c>
      <x:c r="P106" s="46" t="str">
        <x:f>IF(OR(N106="",O106=""),"",N106*O106)</x:f>
      </x:c>
      <x:c r="Q106" s="60"/>
      <x:c r="R106" s="61"/>
      <x:c r="S106" s="61"/>
      <x:c r="T106" s="60"/>
      <x:c r="U106" s="60"/>
      <x:c r="V106" s="60"/>
    </x:row>
    <x:row r="107">
      <x:c r="A107" s="39"/>
      <x:c r="B107" s="56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45"/>
      <x:c r="N107" s="45"/>
      <x:c r="O107" s="50" t="n">
        <x:f>IF(H107="Novo",10%,IF(H107="Qualificado",25%,IF(H107="Demonstração",45%,IF(H107="Proposta",70%,IF(H107="Negociação",85%,IF(H107="Ganho",100%,0%))))))</x:f>
        <x:v>0</x:v>
      </x:c>
      <x:c r="P107" s="46" t="str">
        <x:f>IF(OR(N107="",O107=""),"",N107*O107)</x:f>
      </x:c>
      <x:c r="Q107" s="60"/>
      <x:c r="R107" s="61"/>
      <x:c r="S107" s="61"/>
      <x:c r="T107" s="60"/>
      <x:c r="U107" s="60"/>
      <x:c r="V107" s="60"/>
    </x:row>
    <x:row r="108">
      <x:c r="A108" s="39"/>
      <x:c r="B108" s="56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45"/>
      <x:c r="N108" s="45"/>
      <x:c r="O108" s="50" t="n">
        <x:f>IF(H108="Novo",10%,IF(H108="Qualificado",25%,IF(H108="Demonstração",45%,IF(H108="Proposta",70%,IF(H108="Negociação",85%,IF(H108="Ganho",100%,0%))))))</x:f>
        <x:v>0</x:v>
      </x:c>
      <x:c r="P108" s="46" t="str">
        <x:f>IF(OR(N108="",O108=""),"",N108*O108)</x:f>
      </x:c>
      <x:c r="Q108" s="60"/>
      <x:c r="R108" s="61"/>
      <x:c r="S108" s="61"/>
      <x:c r="T108" s="60"/>
      <x:c r="U108" s="60"/>
      <x:c r="V108" s="60"/>
    </x:row>
    <x:row r="109">
      <x:c r="A109" s="39"/>
      <x:c r="B109" s="56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45"/>
      <x:c r="N109" s="45"/>
      <x:c r="O109" s="50" t="n">
        <x:f>IF(H109="Novo",10%,IF(H109="Qualificado",25%,IF(H109="Demonstração",45%,IF(H109="Proposta",70%,IF(H109="Negociação",85%,IF(H109="Ganho",100%,0%))))))</x:f>
        <x:v>0</x:v>
      </x:c>
      <x:c r="P109" s="46" t="str">
        <x:f>IF(OR(N109="",O109=""),"",N109*O109)</x:f>
      </x:c>
      <x:c r="Q109" s="60"/>
      <x:c r="R109" s="61"/>
      <x:c r="S109" s="61"/>
      <x:c r="T109" s="60"/>
      <x:c r="U109" s="60"/>
      <x:c r="V109" s="60"/>
    </x:row>
    <x:row r="110">
      <x:c r="A110" s="39"/>
      <x:c r="B110" s="56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45"/>
      <x:c r="N110" s="45"/>
      <x:c r="O110" s="50" t="n">
        <x:f>IF(H110="Novo",10%,IF(H110="Qualificado",25%,IF(H110="Demonstração",45%,IF(H110="Proposta",70%,IF(H110="Negociação",85%,IF(H110="Ganho",100%,0%))))))</x:f>
        <x:v>0</x:v>
      </x:c>
      <x:c r="P110" s="46" t="str">
        <x:f>IF(OR(N110="",O110=""),"",N110*O110)</x:f>
      </x:c>
      <x:c r="Q110" s="60"/>
      <x:c r="R110" s="61"/>
      <x:c r="S110" s="61"/>
      <x:c r="T110" s="60"/>
      <x:c r="U110" s="60"/>
      <x:c r="V110" s="60"/>
    </x:row>
    <x:row r="111">
      <x:c r="A111" s="39"/>
      <x:c r="B111" s="56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45"/>
      <x:c r="N111" s="45"/>
      <x:c r="O111" s="50" t="n">
        <x:f>IF(H111="Novo",10%,IF(H111="Qualificado",25%,IF(H111="Demonstração",45%,IF(H111="Proposta",70%,IF(H111="Negociação",85%,IF(H111="Ganho",100%,0%))))))</x:f>
        <x:v>0</x:v>
      </x:c>
      <x:c r="P111" s="46" t="str">
        <x:f>IF(OR(N111="",O111=""),"",N111*O111)</x:f>
      </x:c>
      <x:c r="Q111" s="60"/>
      <x:c r="R111" s="61"/>
      <x:c r="S111" s="61"/>
      <x:c r="T111" s="60"/>
      <x:c r="U111" s="60"/>
      <x:c r="V111" s="60"/>
    </x:row>
    <x:row r="112">
      <x:c r="A112" s="39"/>
      <x:c r="B112" s="56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45"/>
      <x:c r="N112" s="45"/>
      <x:c r="O112" s="50" t="n">
        <x:f>IF(H112="Novo",10%,IF(H112="Qualificado",25%,IF(H112="Demonstração",45%,IF(H112="Proposta",70%,IF(H112="Negociação",85%,IF(H112="Ganho",100%,0%))))))</x:f>
        <x:v>0</x:v>
      </x:c>
      <x:c r="P112" s="46" t="str">
        <x:f>IF(OR(N112="",O112=""),"",N112*O112)</x:f>
      </x:c>
      <x:c r="Q112" s="60"/>
      <x:c r="R112" s="61"/>
      <x:c r="S112" s="61"/>
      <x:c r="T112" s="60"/>
      <x:c r="U112" s="60"/>
      <x:c r="V112" s="60"/>
    </x:row>
    <x:row r="113">
      <x:c r="A113" s="39"/>
      <x:c r="B113" s="56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45"/>
      <x:c r="N113" s="45"/>
      <x:c r="O113" s="50" t="n">
        <x:f>IF(H113="Novo",10%,IF(H113="Qualificado",25%,IF(H113="Demonstração",45%,IF(H113="Proposta",70%,IF(H113="Negociação",85%,IF(H113="Ganho",100%,0%))))))</x:f>
        <x:v>0</x:v>
      </x:c>
      <x:c r="P113" s="46" t="str">
        <x:f>IF(OR(N113="",O113=""),"",N113*O113)</x:f>
      </x:c>
      <x:c r="Q113" s="60"/>
      <x:c r="R113" s="61"/>
      <x:c r="S113" s="61"/>
      <x:c r="T113" s="60"/>
      <x:c r="U113" s="60"/>
      <x:c r="V113" s="60"/>
    </x:row>
    <x:row r="114">
      <x:c r="A114" s="39"/>
      <x:c r="B114" s="56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45"/>
      <x:c r="N114" s="45"/>
      <x:c r="O114" s="50" t="n">
        <x:f>IF(H114="Novo",10%,IF(H114="Qualificado",25%,IF(H114="Demonstração",45%,IF(H114="Proposta",70%,IF(H114="Negociação",85%,IF(H114="Ganho",100%,0%))))))</x:f>
        <x:v>0</x:v>
      </x:c>
      <x:c r="P114" s="46" t="str">
        <x:f>IF(OR(N114="",O114=""),"",N114*O114)</x:f>
      </x:c>
      <x:c r="Q114" s="60"/>
      <x:c r="R114" s="61"/>
      <x:c r="S114" s="61"/>
      <x:c r="T114" s="60"/>
      <x:c r="U114" s="60"/>
      <x:c r="V114" s="60"/>
    </x:row>
    <x:row r="115">
      <x:c r="A115" s="39"/>
      <x:c r="B115" s="56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45"/>
      <x:c r="N115" s="45"/>
      <x:c r="O115" s="50" t="n">
        <x:f>IF(H115="Novo",10%,IF(H115="Qualificado",25%,IF(H115="Demonstração",45%,IF(H115="Proposta",70%,IF(H115="Negociação",85%,IF(H115="Ganho",100%,0%))))))</x:f>
        <x:v>0</x:v>
      </x:c>
      <x:c r="P115" s="46" t="str">
        <x:f>IF(OR(N115="",O115=""),"",N115*O115)</x:f>
      </x:c>
      <x:c r="Q115" s="60"/>
      <x:c r="R115" s="61"/>
      <x:c r="S115" s="61"/>
      <x:c r="T115" s="60"/>
      <x:c r="U115" s="60"/>
      <x:c r="V115" s="60"/>
    </x:row>
    <x:row r="116">
      <x:c r="A116" s="39"/>
      <x:c r="B116" s="56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45"/>
      <x:c r="N116" s="45"/>
      <x:c r="O116" s="50" t="n">
        <x:f>IF(H116="Novo",10%,IF(H116="Qualificado",25%,IF(H116="Demonstração",45%,IF(H116="Proposta",70%,IF(H116="Negociação",85%,IF(H116="Ganho",100%,0%))))))</x:f>
        <x:v>0</x:v>
      </x:c>
      <x:c r="P116" s="46" t="str">
        <x:f>IF(OR(N116="",O116=""),"",N116*O116)</x:f>
      </x:c>
      <x:c r="Q116" s="60"/>
      <x:c r="R116" s="61"/>
      <x:c r="S116" s="61"/>
      <x:c r="T116" s="60"/>
      <x:c r="U116" s="60"/>
      <x:c r="V116" s="60"/>
    </x:row>
    <x:row r="117">
      <x:c r="A117" s="39"/>
      <x:c r="B117" s="56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45"/>
      <x:c r="N117" s="45"/>
      <x:c r="O117" s="50" t="n">
        <x:f>IF(H117="Novo",10%,IF(H117="Qualificado",25%,IF(H117="Demonstração",45%,IF(H117="Proposta",70%,IF(H117="Negociação",85%,IF(H117="Ganho",100%,0%))))))</x:f>
        <x:v>0</x:v>
      </x:c>
      <x:c r="P117" s="46" t="str">
        <x:f>IF(OR(N117="",O117=""),"",N117*O117)</x:f>
      </x:c>
      <x:c r="Q117" s="60"/>
      <x:c r="R117" s="61"/>
      <x:c r="S117" s="61"/>
      <x:c r="T117" s="60"/>
      <x:c r="U117" s="60"/>
      <x:c r="V117" s="60"/>
    </x:row>
    <x:row r="118">
      <x:c r="A118" s="39"/>
      <x:c r="B118" s="56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45"/>
      <x:c r="N118" s="45"/>
      <x:c r="O118" s="50" t="n">
        <x:f>IF(H118="Novo",10%,IF(H118="Qualificado",25%,IF(H118="Demonstração",45%,IF(H118="Proposta",70%,IF(H118="Negociação",85%,IF(H118="Ganho",100%,0%))))))</x:f>
        <x:v>0</x:v>
      </x:c>
      <x:c r="P118" s="46" t="str">
        <x:f>IF(OR(N118="",O118=""),"",N118*O118)</x:f>
      </x:c>
      <x:c r="Q118" s="60"/>
      <x:c r="R118" s="61"/>
      <x:c r="S118" s="61"/>
      <x:c r="T118" s="60"/>
      <x:c r="U118" s="60"/>
      <x:c r="V118" s="60"/>
    </x:row>
    <x:row r="119">
      <x:c r="A119" s="39"/>
      <x:c r="B119" s="56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45"/>
      <x:c r="N119" s="45"/>
      <x:c r="O119" s="50" t="n">
        <x:f>IF(H119="Novo",10%,IF(H119="Qualificado",25%,IF(H119="Demonstração",45%,IF(H119="Proposta",70%,IF(H119="Negociação",85%,IF(H119="Ganho",100%,0%))))))</x:f>
        <x:v>0</x:v>
      </x:c>
      <x:c r="P119" s="46" t="str">
        <x:f>IF(OR(N119="",O119=""),"",N119*O119)</x:f>
      </x:c>
      <x:c r="Q119" s="60"/>
      <x:c r="R119" s="61"/>
      <x:c r="S119" s="61"/>
      <x:c r="T119" s="60"/>
      <x:c r="U119" s="60"/>
      <x:c r="V119" s="60"/>
    </x:row>
    <x:row r="120">
      <x:c r="A120" s="39"/>
      <x:c r="B120" s="56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45"/>
      <x:c r="N120" s="45"/>
      <x:c r="O120" s="50" t="n">
        <x:f>IF(H120="Novo",10%,IF(H120="Qualificado",25%,IF(H120="Demonstração",45%,IF(H120="Proposta",70%,IF(H120="Negociação",85%,IF(H120="Ganho",100%,0%))))))</x:f>
        <x:v>0</x:v>
      </x:c>
      <x:c r="P120" s="46" t="str">
        <x:f>IF(OR(N120="",O120=""),"",N120*O120)</x:f>
      </x:c>
      <x:c r="Q120" s="60"/>
      <x:c r="R120" s="61"/>
      <x:c r="S120" s="61"/>
      <x:c r="T120" s="60"/>
      <x:c r="U120" s="60"/>
      <x:c r="V120" s="60"/>
    </x:row>
    <x:row r="121">
      <x:c r="A121" s="39"/>
      <x:c r="B121" s="56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45"/>
      <x:c r="N121" s="45"/>
      <x:c r="O121" s="50" t="n">
        <x:f>IF(H121="Novo",10%,IF(H121="Qualificado",25%,IF(H121="Demonstração",45%,IF(H121="Proposta",70%,IF(H121="Negociação",85%,IF(H121="Ganho",100%,0%))))))</x:f>
        <x:v>0</x:v>
      </x:c>
      <x:c r="P121" s="46" t="str">
        <x:f>IF(OR(N121="",O121=""),"",N121*O121)</x:f>
      </x:c>
      <x:c r="Q121" s="60"/>
      <x:c r="R121" s="61"/>
      <x:c r="S121" s="61"/>
      <x:c r="T121" s="60"/>
      <x:c r="U121" s="60"/>
      <x:c r="V121" s="60"/>
    </x:row>
    <x:row r="122">
      <x:c r="A122" s="39"/>
      <x:c r="B122" s="56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45"/>
      <x:c r="N122" s="45"/>
      <x:c r="O122" s="50" t="n">
        <x:f>IF(H122="Novo",10%,IF(H122="Qualificado",25%,IF(H122="Demonstração",45%,IF(H122="Proposta",70%,IF(H122="Negociação",85%,IF(H122="Ganho",100%,0%))))))</x:f>
        <x:v>0</x:v>
      </x:c>
      <x:c r="P122" s="46" t="str">
        <x:f>IF(OR(N122="",O122=""),"",N122*O122)</x:f>
      </x:c>
      <x:c r="Q122" s="60"/>
      <x:c r="R122" s="61"/>
      <x:c r="S122" s="61"/>
      <x:c r="T122" s="60"/>
      <x:c r="U122" s="60"/>
      <x:c r="V122" s="60"/>
    </x:row>
    <x:row r="123">
      <x:c r="A123" s="39"/>
      <x:c r="B123" s="56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45"/>
      <x:c r="N123" s="45"/>
      <x:c r="O123" s="50" t="n">
        <x:f>IF(H123="Novo",10%,IF(H123="Qualificado",25%,IF(H123="Demonstração",45%,IF(H123="Proposta",70%,IF(H123="Negociação",85%,IF(H123="Ganho",100%,0%))))))</x:f>
        <x:v>0</x:v>
      </x:c>
      <x:c r="P123" s="46" t="str">
        <x:f>IF(OR(N123="",O123=""),"",N123*O123)</x:f>
      </x:c>
      <x:c r="Q123" s="60"/>
      <x:c r="R123" s="61"/>
      <x:c r="S123" s="61"/>
      <x:c r="T123" s="60"/>
      <x:c r="U123" s="60"/>
      <x:c r="V123" s="60"/>
    </x:row>
    <x:row r="124">
      <x:c r="A124" s="39"/>
      <x:c r="B124" s="56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45"/>
      <x:c r="N124" s="45"/>
      <x:c r="O124" s="50" t="n">
        <x:f>IF(H124="Novo",10%,IF(H124="Qualificado",25%,IF(H124="Demonstração",45%,IF(H124="Proposta",70%,IF(H124="Negociação",85%,IF(H124="Ganho",100%,0%))))))</x:f>
        <x:v>0</x:v>
      </x:c>
      <x:c r="P124" s="46" t="str">
        <x:f>IF(OR(N124="",O124=""),"",N124*O124)</x:f>
      </x:c>
      <x:c r="Q124" s="60"/>
      <x:c r="R124" s="61"/>
      <x:c r="S124" s="61"/>
      <x:c r="T124" s="60"/>
      <x:c r="U124" s="60"/>
      <x:c r="V124" s="60"/>
    </x:row>
    <x:row r="125">
      <x:c r="A125" s="39"/>
      <x:c r="B125" s="56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45"/>
      <x:c r="N125" s="45"/>
      <x:c r="O125" s="50" t="n">
        <x:f>IF(H125="Novo",10%,IF(H125="Qualificado",25%,IF(H125="Demonstração",45%,IF(H125="Proposta",70%,IF(H125="Negociação",85%,IF(H125="Ganho",100%,0%))))))</x:f>
        <x:v>0</x:v>
      </x:c>
      <x:c r="P125" s="46" t="str">
        <x:f>IF(OR(N125="",O125=""),"",N125*O125)</x:f>
      </x:c>
      <x:c r="Q125" s="60"/>
      <x:c r="R125" s="61"/>
      <x:c r="S125" s="61"/>
      <x:c r="T125" s="60"/>
      <x:c r="U125" s="60"/>
      <x:c r="V125" s="60"/>
    </x:row>
    <x:row r="126">
      <x:c r="A126" s="39"/>
      <x:c r="B126" s="56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45"/>
      <x:c r="N126" s="45"/>
      <x:c r="O126" s="50" t="n">
        <x:f>IF(H126="Novo",10%,IF(H126="Qualificado",25%,IF(H126="Demonstração",45%,IF(H126="Proposta",70%,IF(H126="Negociação",85%,IF(H126="Ganho",100%,0%))))))</x:f>
        <x:v>0</x:v>
      </x:c>
      <x:c r="P126" s="46" t="str">
        <x:f>IF(OR(N126="",O126=""),"",N126*O126)</x:f>
      </x:c>
      <x:c r="Q126" s="60"/>
      <x:c r="R126" s="61"/>
      <x:c r="S126" s="61"/>
      <x:c r="T126" s="60"/>
      <x:c r="U126" s="60"/>
      <x:c r="V126" s="60"/>
    </x:row>
    <x:row r="127">
      <x:c r="A127" s="39"/>
      <x:c r="B127" s="56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45"/>
      <x:c r="N127" s="45"/>
      <x:c r="O127" s="50" t="n">
        <x:f>IF(H127="Novo",10%,IF(H127="Qualificado",25%,IF(H127="Demonstração",45%,IF(H127="Proposta",70%,IF(H127="Negociação",85%,IF(H127="Ganho",100%,0%))))))</x:f>
        <x:v>0</x:v>
      </x:c>
      <x:c r="P127" s="46" t="str">
        <x:f>IF(OR(N127="",O127=""),"",N127*O127)</x:f>
      </x:c>
      <x:c r="Q127" s="60"/>
      <x:c r="R127" s="61"/>
      <x:c r="S127" s="61"/>
      <x:c r="T127" s="60"/>
      <x:c r="U127" s="60"/>
      <x:c r="V127" s="60"/>
    </x:row>
    <x:row r="128">
      <x:c r="A128" s="39"/>
      <x:c r="B128" s="56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45"/>
      <x:c r="N128" s="45"/>
      <x:c r="O128" s="50" t="n">
        <x:f>IF(H128="Novo",10%,IF(H128="Qualificado",25%,IF(H128="Demonstração",45%,IF(H128="Proposta",70%,IF(H128="Negociação",85%,IF(H128="Ganho",100%,0%))))))</x:f>
        <x:v>0</x:v>
      </x:c>
      <x:c r="P128" s="46" t="str">
        <x:f>IF(OR(N128="",O128=""),"",N128*O128)</x:f>
      </x:c>
      <x:c r="Q128" s="60"/>
      <x:c r="R128" s="61"/>
      <x:c r="S128" s="61"/>
      <x:c r="T128" s="60"/>
      <x:c r="U128" s="60"/>
      <x:c r="V128" s="60"/>
    </x:row>
    <x:row r="129">
      <x:c r="A129" s="39"/>
      <x:c r="B129" s="56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45"/>
      <x:c r="N129" s="45"/>
      <x:c r="O129" s="50" t="n">
        <x:f>IF(H129="Novo",10%,IF(H129="Qualificado",25%,IF(H129="Demonstração",45%,IF(H129="Proposta",70%,IF(H129="Negociação",85%,IF(H129="Ganho",100%,0%))))))</x:f>
        <x:v>0</x:v>
      </x:c>
      <x:c r="P129" s="46" t="str">
        <x:f>IF(OR(N129="",O129=""),"",N129*O129)</x:f>
      </x:c>
      <x:c r="Q129" s="60"/>
      <x:c r="R129" s="61"/>
      <x:c r="S129" s="61"/>
      <x:c r="T129" s="60"/>
      <x:c r="U129" s="60"/>
      <x:c r="V129" s="60"/>
    </x:row>
    <x:row r="130">
      <x:c r="A130" s="39"/>
      <x:c r="B130" s="56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45"/>
      <x:c r="N130" s="45"/>
      <x:c r="O130" s="50" t="n">
        <x:f>IF(H130="Novo",10%,IF(H130="Qualificado",25%,IF(H130="Demonstração",45%,IF(H130="Proposta",70%,IF(H130="Negociação",85%,IF(H130="Ganho",100%,0%))))))</x:f>
        <x:v>0</x:v>
      </x:c>
      <x:c r="P130" s="46" t="str">
        <x:f>IF(OR(N130="",O130=""),"",N130*O130)</x:f>
      </x:c>
      <x:c r="Q130" s="60"/>
      <x:c r="R130" s="61"/>
      <x:c r="S130" s="61"/>
      <x:c r="T130" s="60"/>
      <x:c r="U130" s="60"/>
      <x:c r="V130" s="60"/>
    </x:row>
    <x:row r="131">
      <x:c r="A131" s="39"/>
      <x:c r="B131" s="56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45"/>
      <x:c r="N131" s="45"/>
      <x:c r="O131" s="50" t="n">
        <x:f>IF(H131="Novo",10%,IF(H131="Qualificado",25%,IF(H131="Demonstração",45%,IF(H131="Proposta",70%,IF(H131="Negociação",85%,IF(H131="Ganho",100%,0%))))))</x:f>
        <x:v>0</x:v>
      </x:c>
      <x:c r="P131" s="46" t="str">
        <x:f>IF(OR(N131="",O131=""),"",N131*O131)</x:f>
      </x:c>
      <x:c r="Q131" s="60"/>
      <x:c r="R131" s="61"/>
      <x:c r="S131" s="61"/>
      <x:c r="T131" s="60"/>
      <x:c r="U131" s="60"/>
      <x:c r="V131" s="60"/>
    </x:row>
    <x:row r="132">
      <x:c r="A132" s="39"/>
      <x:c r="B132" s="56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45"/>
      <x:c r="N132" s="45"/>
      <x:c r="O132" s="50" t="n">
        <x:f>IF(H132="Novo",10%,IF(H132="Qualificado",25%,IF(H132="Demonstração",45%,IF(H132="Proposta",70%,IF(H132="Negociação",85%,IF(H132="Ganho",100%,0%))))))</x:f>
        <x:v>0</x:v>
      </x:c>
      <x:c r="P132" s="46" t="str">
        <x:f>IF(OR(N132="",O132=""),"",N132*O132)</x:f>
      </x:c>
      <x:c r="Q132" s="60"/>
      <x:c r="R132" s="61"/>
      <x:c r="S132" s="61"/>
      <x:c r="T132" s="60"/>
      <x:c r="U132" s="60"/>
      <x:c r="V132" s="60"/>
    </x:row>
    <x:row r="133">
      <x:c r="A133" s="39"/>
      <x:c r="B133" s="56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45"/>
      <x:c r="N133" s="45"/>
      <x:c r="O133" s="50" t="n">
        <x:f>IF(H133="Novo",10%,IF(H133="Qualificado",25%,IF(H133="Demonstração",45%,IF(H133="Proposta",70%,IF(H133="Negociação",85%,IF(H133="Ganho",100%,0%))))))</x:f>
        <x:v>0</x:v>
      </x:c>
      <x:c r="P133" s="46" t="str">
        <x:f>IF(OR(N133="",O133=""),"",N133*O133)</x:f>
      </x:c>
      <x:c r="Q133" s="60"/>
      <x:c r="R133" s="61"/>
      <x:c r="S133" s="61"/>
      <x:c r="T133" s="60"/>
      <x:c r="U133" s="60"/>
      <x:c r="V133" s="60"/>
    </x:row>
    <x:row r="134">
      <x:c r="A134" s="39"/>
      <x:c r="B134" s="56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45"/>
      <x:c r="N134" s="45"/>
      <x:c r="O134" s="50" t="n">
        <x:f>IF(H134="Novo",10%,IF(H134="Qualificado",25%,IF(H134="Demonstração",45%,IF(H134="Proposta",70%,IF(H134="Negociação",85%,IF(H134="Ganho",100%,0%))))))</x:f>
        <x:v>0</x:v>
      </x:c>
      <x:c r="P134" s="46" t="str">
        <x:f>IF(OR(N134="",O134=""),"",N134*O134)</x:f>
      </x:c>
      <x:c r="Q134" s="60"/>
      <x:c r="R134" s="61"/>
      <x:c r="S134" s="61"/>
      <x:c r="T134" s="60"/>
      <x:c r="U134" s="60"/>
      <x:c r="V134" s="60"/>
    </x:row>
    <x:row r="135">
      <x:c r="A135" s="39"/>
      <x:c r="B135" s="56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45"/>
      <x:c r="N135" s="45"/>
      <x:c r="O135" s="50" t="n">
        <x:f>IF(H135="Novo",10%,IF(H135="Qualificado",25%,IF(H135="Demonstração",45%,IF(H135="Proposta",70%,IF(H135="Negociação",85%,IF(H135="Ganho",100%,0%))))))</x:f>
        <x:v>0</x:v>
      </x:c>
      <x:c r="P135" s="46" t="str">
        <x:f>IF(OR(N135="",O135=""),"",N135*O135)</x:f>
      </x:c>
      <x:c r="Q135" s="60"/>
      <x:c r="R135" s="61"/>
      <x:c r="S135" s="61"/>
      <x:c r="T135" s="60"/>
      <x:c r="U135" s="60"/>
      <x:c r="V135" s="60"/>
    </x:row>
    <x:row r="136">
      <x:c r="A136" s="39"/>
      <x:c r="B136" s="56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45"/>
      <x:c r="N136" s="45"/>
      <x:c r="O136" s="50" t="n">
        <x:f>IF(H136="Novo",10%,IF(H136="Qualificado",25%,IF(H136="Demonstração",45%,IF(H136="Proposta",70%,IF(H136="Negociação",85%,IF(H136="Ganho",100%,0%))))))</x:f>
        <x:v>0</x:v>
      </x:c>
      <x:c r="P136" s="46" t="str">
        <x:f>IF(OR(N136="",O136=""),"",N136*O136)</x:f>
      </x:c>
      <x:c r="Q136" s="60"/>
      <x:c r="R136" s="61"/>
      <x:c r="S136" s="61"/>
      <x:c r="T136" s="60"/>
      <x:c r="U136" s="60"/>
      <x:c r="V136" s="60"/>
    </x:row>
    <x:row r="137">
      <x:c r="A137" s="39"/>
      <x:c r="B137" s="56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45"/>
      <x:c r="N137" s="45"/>
      <x:c r="O137" s="50" t="n">
        <x:f>IF(H137="Novo",10%,IF(H137="Qualificado",25%,IF(H137="Demonstração",45%,IF(H137="Proposta",70%,IF(H137="Negociação",85%,IF(H137="Ganho",100%,0%))))))</x:f>
        <x:v>0</x:v>
      </x:c>
      <x:c r="P137" s="46" t="str">
        <x:f>IF(OR(N137="",O137=""),"",N137*O137)</x:f>
      </x:c>
      <x:c r="Q137" s="60"/>
      <x:c r="R137" s="61"/>
      <x:c r="S137" s="61"/>
      <x:c r="T137" s="60"/>
      <x:c r="U137" s="60"/>
      <x:c r="V137" s="60"/>
    </x:row>
    <x:row r="138">
      <x:c r="A138" s="39"/>
      <x:c r="B138" s="56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45"/>
      <x:c r="N138" s="45"/>
      <x:c r="O138" s="50" t="n">
        <x:f>IF(H138="Novo",10%,IF(H138="Qualificado",25%,IF(H138="Demonstração",45%,IF(H138="Proposta",70%,IF(H138="Negociação",85%,IF(H138="Ganho",100%,0%))))))</x:f>
        <x:v>0</x:v>
      </x:c>
      <x:c r="P138" s="46" t="str">
        <x:f>IF(OR(N138="",O138=""),"",N138*O138)</x:f>
      </x:c>
      <x:c r="Q138" s="60"/>
      <x:c r="R138" s="61"/>
      <x:c r="S138" s="61"/>
      <x:c r="T138" s="60"/>
      <x:c r="U138" s="60"/>
      <x:c r="V138" s="60"/>
    </x:row>
    <x:row r="139">
      <x:c r="A139" s="39"/>
      <x:c r="B139" s="56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45"/>
      <x:c r="N139" s="45"/>
      <x:c r="O139" s="50" t="n">
        <x:f>IF(H139="Novo",10%,IF(H139="Qualificado",25%,IF(H139="Demonstração",45%,IF(H139="Proposta",70%,IF(H139="Negociação",85%,IF(H139="Ganho",100%,0%))))))</x:f>
        <x:v>0</x:v>
      </x:c>
      <x:c r="P139" s="46" t="str">
        <x:f>IF(OR(N139="",O139=""),"",N139*O139)</x:f>
      </x:c>
      <x:c r="Q139" s="60"/>
      <x:c r="R139" s="61"/>
      <x:c r="S139" s="61"/>
      <x:c r="T139" s="60"/>
      <x:c r="U139" s="60"/>
      <x:c r="V139" s="60"/>
    </x:row>
    <x:row r="140">
      <x:c r="A140" s="39"/>
      <x:c r="B140" s="56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45"/>
      <x:c r="N140" s="45"/>
      <x:c r="O140" s="50" t="n">
        <x:f>IF(H140="Novo",10%,IF(H140="Qualificado",25%,IF(H140="Demonstração",45%,IF(H140="Proposta",70%,IF(H140="Negociação",85%,IF(H140="Ganho",100%,0%))))))</x:f>
        <x:v>0</x:v>
      </x:c>
      <x:c r="P140" s="46" t="str">
        <x:f>IF(OR(N140="",O140=""),"",N140*O140)</x:f>
      </x:c>
      <x:c r="Q140" s="60"/>
      <x:c r="R140" s="61"/>
      <x:c r="S140" s="61"/>
      <x:c r="T140" s="60"/>
      <x:c r="U140" s="60"/>
      <x:c r="V140" s="60"/>
    </x:row>
    <x:row r="141">
      <x:c r="A141" s="39"/>
      <x:c r="B141" s="56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45"/>
      <x:c r="N141" s="45"/>
      <x:c r="O141" s="50" t="n">
        <x:f>IF(H141="Novo",10%,IF(H141="Qualificado",25%,IF(H141="Demonstração",45%,IF(H141="Proposta",70%,IF(H141="Negociação",85%,IF(H141="Ganho",100%,0%))))))</x:f>
        <x:v>0</x:v>
      </x:c>
      <x:c r="P141" s="46" t="str">
        <x:f>IF(OR(N141="",O141=""),"",N141*O141)</x:f>
      </x:c>
      <x:c r="Q141" s="60"/>
      <x:c r="R141" s="61"/>
      <x:c r="S141" s="61"/>
      <x:c r="T141" s="60"/>
      <x:c r="U141" s="60"/>
      <x:c r="V141" s="60"/>
    </x:row>
    <x:row r="142">
      <x:c r="A142" s="39"/>
      <x:c r="B142" s="56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45"/>
      <x:c r="N142" s="45"/>
      <x:c r="O142" s="50" t="n">
        <x:f>IF(H142="Novo",10%,IF(H142="Qualificado",25%,IF(H142="Demonstração",45%,IF(H142="Proposta",70%,IF(H142="Negociação",85%,IF(H142="Ganho",100%,0%))))))</x:f>
        <x:v>0</x:v>
      </x:c>
      <x:c r="P142" s="46" t="str">
        <x:f>IF(OR(N142="",O142=""),"",N142*O142)</x:f>
      </x:c>
      <x:c r="Q142" s="60"/>
      <x:c r="R142" s="61"/>
      <x:c r="S142" s="61"/>
      <x:c r="T142" s="60"/>
      <x:c r="U142" s="60"/>
      <x:c r="V142" s="60"/>
    </x:row>
    <x:row r="143">
      <x:c r="A143" s="39"/>
      <x:c r="B143" s="56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45"/>
      <x:c r="N143" s="45"/>
      <x:c r="O143" s="50" t="n">
        <x:f>IF(H143="Novo",10%,IF(H143="Qualificado",25%,IF(H143="Demonstração",45%,IF(H143="Proposta",70%,IF(H143="Negociação",85%,IF(H143="Ganho",100%,0%))))))</x:f>
        <x:v>0</x:v>
      </x:c>
      <x:c r="P143" s="46" t="str">
        <x:f>IF(OR(N143="",O143=""),"",N143*O143)</x:f>
      </x:c>
      <x:c r="Q143" s="60"/>
      <x:c r="R143" s="61"/>
      <x:c r="S143" s="61"/>
      <x:c r="T143" s="60"/>
      <x:c r="U143" s="60"/>
      <x:c r="V143" s="60"/>
    </x:row>
    <x:row r="144">
      <x:c r="A144" s="39"/>
      <x:c r="B144" s="56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45"/>
      <x:c r="N144" s="45"/>
      <x:c r="O144" s="50" t="n">
        <x:f>IF(H144="Novo",10%,IF(H144="Qualificado",25%,IF(H144="Demonstração",45%,IF(H144="Proposta",70%,IF(H144="Negociação",85%,IF(H144="Ganho",100%,0%))))))</x:f>
        <x:v>0</x:v>
      </x:c>
      <x:c r="P144" s="46" t="str">
        <x:f>IF(OR(N144="",O144=""),"",N144*O144)</x:f>
      </x:c>
      <x:c r="Q144" s="60"/>
      <x:c r="R144" s="61"/>
      <x:c r="S144" s="61"/>
      <x:c r="T144" s="60"/>
      <x:c r="U144" s="60"/>
      <x:c r="V144" s="60"/>
    </x:row>
    <x:row r="145">
      <x:c r="A145" s="39"/>
      <x:c r="B145" s="56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45"/>
      <x:c r="N145" s="45"/>
      <x:c r="O145" s="50" t="n">
        <x:f>IF(H145="Novo",10%,IF(H145="Qualificado",25%,IF(H145="Demonstração",45%,IF(H145="Proposta",70%,IF(H145="Negociação",85%,IF(H145="Ganho",100%,0%))))))</x:f>
        <x:v>0</x:v>
      </x:c>
      <x:c r="P145" s="46" t="str">
        <x:f>IF(OR(N145="",O145=""),"",N145*O145)</x:f>
      </x:c>
      <x:c r="Q145" s="60"/>
      <x:c r="R145" s="61"/>
      <x:c r="S145" s="61"/>
      <x:c r="T145" s="60"/>
      <x:c r="U145" s="60"/>
      <x:c r="V145" s="60"/>
    </x:row>
    <x:row r="146">
      <x:c r="A146" s="39"/>
      <x:c r="B146" s="56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45"/>
      <x:c r="N146" s="45"/>
      <x:c r="O146" s="50" t="n">
        <x:f>IF(H146="Novo",10%,IF(H146="Qualificado",25%,IF(H146="Demonstração",45%,IF(H146="Proposta",70%,IF(H146="Negociação",85%,IF(H146="Ganho",100%,0%))))))</x:f>
        <x:v>0</x:v>
      </x:c>
      <x:c r="P146" s="46" t="str">
        <x:f>IF(OR(N146="",O146=""),"",N146*O146)</x:f>
      </x:c>
      <x:c r="Q146" s="60"/>
      <x:c r="R146" s="61"/>
      <x:c r="S146" s="61"/>
      <x:c r="T146" s="60"/>
      <x:c r="U146" s="60"/>
      <x:c r="V146" s="60"/>
    </x:row>
    <x:row r="147">
      <x:c r="A147" s="39"/>
      <x:c r="B147" s="56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45"/>
      <x:c r="N147" s="45"/>
      <x:c r="O147" s="50" t="n">
        <x:f>IF(H147="Novo",10%,IF(H147="Qualificado",25%,IF(H147="Demonstração",45%,IF(H147="Proposta",70%,IF(H147="Negociação",85%,IF(H147="Ganho",100%,0%))))))</x:f>
        <x:v>0</x:v>
      </x:c>
      <x:c r="P147" s="46" t="str">
        <x:f>IF(OR(N147="",O147=""),"",N147*O147)</x:f>
      </x:c>
      <x:c r="Q147" s="60"/>
      <x:c r="R147" s="61"/>
      <x:c r="S147" s="61"/>
      <x:c r="T147" s="60"/>
      <x:c r="U147" s="60"/>
      <x:c r="V147" s="60"/>
    </x:row>
    <x:row r="148">
      <x:c r="A148" s="39"/>
      <x:c r="B148" s="56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45"/>
      <x:c r="N148" s="45"/>
      <x:c r="O148" s="50" t="n">
        <x:f>IF(H148="Novo",10%,IF(H148="Qualificado",25%,IF(H148="Demonstração",45%,IF(H148="Proposta",70%,IF(H148="Negociação",85%,IF(H148="Ganho",100%,0%))))))</x:f>
        <x:v>0</x:v>
      </x:c>
      <x:c r="P148" s="46" t="str">
        <x:f>IF(OR(N148="",O148=""),"",N148*O148)</x:f>
      </x:c>
      <x:c r="Q148" s="60"/>
      <x:c r="R148" s="61"/>
      <x:c r="S148" s="61"/>
      <x:c r="T148" s="60"/>
      <x:c r="U148" s="60"/>
      <x:c r="V148" s="60"/>
    </x:row>
    <x:row r="149">
      <x:c r="A149" s="39"/>
      <x:c r="B149" s="56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45"/>
      <x:c r="N149" s="45"/>
      <x:c r="O149" s="50" t="n">
        <x:f>IF(H149="Novo",10%,IF(H149="Qualificado",25%,IF(H149="Demonstração",45%,IF(H149="Proposta",70%,IF(H149="Negociação",85%,IF(H149="Ganho",100%,0%))))))</x:f>
        <x:v>0</x:v>
      </x:c>
      <x:c r="P149" s="46" t="str">
        <x:f>IF(OR(N149="",O149=""),"",N149*O149)</x:f>
      </x:c>
      <x:c r="Q149" s="60"/>
      <x:c r="R149" s="61"/>
      <x:c r="S149" s="61"/>
      <x:c r="T149" s="60"/>
      <x:c r="U149" s="60"/>
      <x:c r="V149" s="60"/>
    </x:row>
    <x:row r="150">
      <x:c r="A150" s="39"/>
      <x:c r="B150" s="56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45"/>
      <x:c r="N150" s="45"/>
      <x:c r="O150" s="50" t="n">
        <x:f>IF(H150="Novo",10%,IF(H150="Qualificado",25%,IF(H150="Demonstração",45%,IF(H150="Proposta",70%,IF(H150="Negociação",85%,IF(H150="Ganho",100%,0%))))))</x:f>
        <x:v>0</x:v>
      </x:c>
      <x:c r="P150" s="46" t="str">
        <x:f>IF(OR(N150="",O150=""),"",N150*O150)</x:f>
      </x:c>
      <x:c r="Q150" s="60"/>
      <x:c r="R150" s="61"/>
      <x:c r="S150" s="61"/>
      <x:c r="T150" s="60"/>
      <x:c r="U150" s="60"/>
      <x:c r="V150" s="60"/>
    </x:row>
    <x:row r="151">
      <x:c r="A151" s="39"/>
      <x:c r="B151" s="56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45"/>
      <x:c r="N151" s="45"/>
      <x:c r="O151" s="50" t="n">
        <x:f>IF(H151="Novo",10%,IF(H151="Qualificado",25%,IF(H151="Demonstração",45%,IF(H151="Proposta",70%,IF(H151="Negociação",85%,IF(H151="Ganho",100%,0%))))))</x:f>
        <x:v>0</x:v>
      </x:c>
      <x:c r="P151" s="46" t="str">
        <x:f>IF(OR(N151="",O151=""),"",N151*O151)</x:f>
      </x:c>
      <x:c r="Q151" s="60"/>
      <x:c r="R151" s="61"/>
      <x:c r="S151" s="61"/>
      <x:c r="T151" s="60"/>
      <x:c r="U151" s="60"/>
      <x:c r="V151" s="60"/>
    </x:row>
    <x:row r="152">
      <x:c r="A152" s="39"/>
      <x:c r="B152" s="56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45"/>
      <x:c r="N152" s="45"/>
      <x:c r="O152" s="50" t="n">
        <x:f>IF(H152="Novo",10%,IF(H152="Qualificado",25%,IF(H152="Demonstração",45%,IF(H152="Proposta",70%,IF(H152="Negociação",85%,IF(H152="Ganho",100%,0%))))))</x:f>
        <x:v>0</x:v>
      </x:c>
      <x:c r="P152" s="46" t="str">
        <x:f>IF(OR(N152="",O152=""),"",N152*O152)</x:f>
      </x:c>
      <x:c r="Q152" s="60"/>
      <x:c r="R152" s="61"/>
      <x:c r="S152" s="61"/>
      <x:c r="T152" s="60"/>
      <x:c r="U152" s="60"/>
      <x:c r="V152" s="60"/>
    </x:row>
    <x:row r="153">
      <x:c r="A153" s="39"/>
      <x:c r="B153" s="56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45"/>
      <x:c r="N153" s="45"/>
      <x:c r="O153" s="50" t="n">
        <x:f>IF(H153="Novo",10%,IF(H153="Qualificado",25%,IF(H153="Demonstração",45%,IF(H153="Proposta",70%,IF(H153="Negociação",85%,IF(H153="Ganho",100%,0%))))))</x:f>
        <x:v>0</x:v>
      </x:c>
      <x:c r="P153" s="46" t="str">
        <x:f>IF(OR(N153="",O153=""),"",N153*O153)</x:f>
      </x:c>
      <x:c r="Q153" s="60"/>
      <x:c r="R153" s="61"/>
      <x:c r="S153" s="61"/>
      <x:c r="T153" s="60"/>
      <x:c r="U153" s="60"/>
      <x:c r="V153" s="60"/>
    </x:row>
    <x:row r="154">
      <x:c r="A154" s="39"/>
      <x:c r="B154" s="56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45"/>
      <x:c r="N154" s="45"/>
      <x:c r="O154" s="50" t="n">
        <x:f>IF(H154="Novo",10%,IF(H154="Qualificado",25%,IF(H154="Demonstração",45%,IF(H154="Proposta",70%,IF(H154="Negociação",85%,IF(H154="Ganho",100%,0%))))))</x:f>
        <x:v>0</x:v>
      </x:c>
      <x:c r="P154" s="46" t="str">
        <x:f>IF(OR(N154="",O154=""),"",N154*O154)</x:f>
      </x:c>
      <x:c r="Q154" s="60"/>
      <x:c r="R154" s="61"/>
      <x:c r="S154" s="61"/>
      <x:c r="T154" s="60"/>
      <x:c r="U154" s="60"/>
      <x:c r="V154" s="60"/>
    </x:row>
    <x:row r="155">
      <x:c r="A155" s="39"/>
      <x:c r="B155" s="56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45"/>
      <x:c r="N155" s="45"/>
      <x:c r="O155" s="50" t="n">
        <x:f>IF(H155="Novo",10%,IF(H155="Qualificado",25%,IF(H155="Demonstração",45%,IF(H155="Proposta",70%,IF(H155="Negociação",85%,IF(H155="Ganho",100%,0%))))))</x:f>
        <x:v>0</x:v>
      </x:c>
      <x:c r="P155" s="46" t="str">
        <x:f>IF(OR(N155="",O155=""),"",N155*O155)</x:f>
      </x:c>
      <x:c r="Q155" s="60"/>
      <x:c r="R155" s="61"/>
      <x:c r="S155" s="61"/>
      <x:c r="T155" s="60"/>
      <x:c r="U155" s="60"/>
      <x:c r="V155" s="60"/>
    </x:row>
    <x:row r="156">
      <x:c r="A156" s="39"/>
      <x:c r="B156" s="56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45"/>
      <x:c r="N156" s="45"/>
      <x:c r="O156" s="50" t="n">
        <x:f>IF(H156="Novo",10%,IF(H156="Qualificado",25%,IF(H156="Demonstração",45%,IF(H156="Proposta",70%,IF(H156="Negociação",85%,IF(H156="Ganho",100%,0%))))))</x:f>
        <x:v>0</x:v>
      </x:c>
      <x:c r="P156" s="46" t="str">
        <x:f>IF(OR(N156="",O156=""),"",N156*O156)</x:f>
      </x:c>
      <x:c r="Q156" s="60"/>
      <x:c r="R156" s="61"/>
      <x:c r="S156" s="61"/>
      <x:c r="T156" s="60"/>
      <x:c r="U156" s="60"/>
      <x:c r="V156" s="60"/>
    </x:row>
    <x:row r="157">
      <x:c r="A157" s="39"/>
      <x:c r="B157" s="56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45"/>
      <x:c r="N157" s="45"/>
      <x:c r="O157" s="50" t="n">
        <x:f>IF(H157="Novo",10%,IF(H157="Qualificado",25%,IF(H157="Demonstração",45%,IF(H157="Proposta",70%,IF(H157="Negociação",85%,IF(H157="Ganho",100%,0%))))))</x:f>
        <x:v>0</x:v>
      </x:c>
      <x:c r="P157" s="46" t="str">
        <x:f>IF(OR(N157="",O157=""),"",N157*O157)</x:f>
      </x:c>
      <x:c r="Q157" s="60"/>
      <x:c r="R157" s="61"/>
      <x:c r="S157" s="61"/>
      <x:c r="T157" s="60"/>
      <x:c r="U157" s="60"/>
      <x:c r="V157" s="60"/>
    </x:row>
    <x:row r="158">
      <x:c r="A158" s="39"/>
      <x:c r="B158" s="56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45"/>
      <x:c r="N158" s="45"/>
      <x:c r="O158" s="50" t="n">
        <x:f>IF(H158="Novo",10%,IF(H158="Qualificado",25%,IF(H158="Demonstração",45%,IF(H158="Proposta",70%,IF(H158="Negociação",85%,IF(H158="Ganho",100%,0%))))))</x:f>
        <x:v>0</x:v>
      </x:c>
      <x:c r="P158" s="46" t="str">
        <x:f>IF(OR(N158="",O158=""),"",N158*O158)</x:f>
      </x:c>
      <x:c r="Q158" s="60"/>
      <x:c r="R158" s="61"/>
      <x:c r="S158" s="61"/>
      <x:c r="T158" s="60"/>
      <x:c r="U158" s="60"/>
      <x:c r="V158" s="60"/>
    </x:row>
    <x:row r="159">
      <x:c r="A159" s="39"/>
      <x:c r="B159" s="56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45"/>
      <x:c r="N159" s="45"/>
      <x:c r="O159" s="50" t="n">
        <x:f>IF(H159="Novo",10%,IF(H159="Qualificado",25%,IF(H159="Demonstração",45%,IF(H159="Proposta",70%,IF(H159="Negociação",85%,IF(H159="Ganho",100%,0%))))))</x:f>
        <x:v>0</x:v>
      </x:c>
      <x:c r="P159" s="46" t="str">
        <x:f>IF(OR(N159="",O159=""),"",N159*O159)</x:f>
      </x:c>
      <x:c r="Q159" s="60"/>
      <x:c r="R159" s="61"/>
      <x:c r="S159" s="61"/>
      <x:c r="T159" s="60"/>
      <x:c r="U159" s="60"/>
      <x:c r="V159" s="60"/>
    </x:row>
    <x:row r="160">
      <x:c r="A160" s="39"/>
      <x:c r="B160" s="56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45"/>
      <x:c r="N160" s="45"/>
      <x:c r="O160" s="50" t="n">
        <x:f>IF(H160="Novo",10%,IF(H160="Qualificado",25%,IF(H160="Demonstração",45%,IF(H160="Proposta",70%,IF(H160="Negociação",85%,IF(H160="Ganho",100%,0%))))))</x:f>
        <x:v>0</x:v>
      </x:c>
      <x:c r="P160" s="46" t="str">
        <x:f>IF(OR(N160="",O160=""),"",N160*O160)</x:f>
      </x:c>
      <x:c r="Q160" s="60"/>
      <x:c r="R160" s="61"/>
      <x:c r="S160" s="61"/>
      <x:c r="T160" s="60"/>
      <x:c r="U160" s="60"/>
      <x:c r="V160" s="60"/>
    </x:row>
    <x:row r="161">
      <x:c r="A161" s="39"/>
      <x:c r="B161" s="56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45"/>
      <x:c r="N161" s="45"/>
      <x:c r="O161" s="50" t="n">
        <x:f>IF(H161="Novo",10%,IF(H161="Qualificado",25%,IF(H161="Demonstração",45%,IF(H161="Proposta",70%,IF(H161="Negociação",85%,IF(H161="Ganho",100%,0%))))))</x:f>
        <x:v>0</x:v>
      </x:c>
      <x:c r="P161" s="46" t="str">
        <x:f>IF(OR(N161="",O161=""),"",N161*O161)</x:f>
      </x:c>
      <x:c r="Q161" s="60"/>
      <x:c r="R161" s="61"/>
      <x:c r="S161" s="61"/>
      <x:c r="T161" s="60"/>
      <x:c r="U161" s="60"/>
      <x:c r="V161" s="60"/>
    </x:row>
    <x:row r="162">
      <x:c r="A162" s="39"/>
      <x:c r="B162" s="56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45"/>
      <x:c r="N162" s="45"/>
      <x:c r="O162" s="50" t="n">
        <x:f>IF(H162="Novo",10%,IF(H162="Qualificado",25%,IF(H162="Demonstração",45%,IF(H162="Proposta",70%,IF(H162="Negociação",85%,IF(H162="Ganho",100%,0%))))))</x:f>
        <x:v>0</x:v>
      </x:c>
      <x:c r="P162" s="46" t="str">
        <x:f>IF(OR(N162="",O162=""),"",N162*O162)</x:f>
      </x:c>
      <x:c r="Q162" s="60"/>
      <x:c r="R162" s="61"/>
      <x:c r="S162" s="61"/>
      <x:c r="T162" s="60"/>
      <x:c r="U162" s="60"/>
      <x:c r="V162" s="60"/>
    </x:row>
    <x:row r="163">
      <x:c r="A163" s="39"/>
      <x:c r="B163" s="56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45"/>
      <x:c r="N163" s="45"/>
      <x:c r="O163" s="50" t="n">
        <x:f>IF(H163="Novo",10%,IF(H163="Qualificado",25%,IF(H163="Demonstração",45%,IF(H163="Proposta",70%,IF(H163="Negociação",85%,IF(H163="Ganho",100%,0%))))))</x:f>
        <x:v>0</x:v>
      </x:c>
      <x:c r="P163" s="46" t="str">
        <x:f>IF(OR(N163="",O163=""),"",N163*O163)</x:f>
      </x:c>
      <x:c r="Q163" s="60"/>
      <x:c r="R163" s="61"/>
      <x:c r="S163" s="61"/>
      <x:c r="T163" s="60"/>
      <x:c r="U163" s="60"/>
      <x:c r="V163" s="60"/>
    </x:row>
    <x:row r="164">
      <x:c r="A164" s="39"/>
      <x:c r="B164" s="56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45"/>
      <x:c r="N164" s="45"/>
      <x:c r="O164" s="50" t="n">
        <x:f>IF(H164="Novo",10%,IF(H164="Qualificado",25%,IF(H164="Demonstração",45%,IF(H164="Proposta",70%,IF(H164="Negociação",85%,IF(H164="Ganho",100%,0%))))))</x:f>
        <x:v>0</x:v>
      </x:c>
      <x:c r="P164" s="46" t="str">
        <x:f>IF(OR(N164="",O164=""),"",N164*O164)</x:f>
      </x:c>
      <x:c r="Q164" s="60"/>
      <x:c r="R164" s="61"/>
      <x:c r="S164" s="61"/>
      <x:c r="T164" s="60"/>
      <x:c r="U164" s="60"/>
      <x:c r="V164" s="60"/>
    </x:row>
    <x:row r="165">
      <x:c r="A165" s="39"/>
      <x:c r="B165" s="56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45"/>
      <x:c r="N165" s="45"/>
      <x:c r="O165" s="50" t="n">
        <x:f>IF(H165="Novo",10%,IF(H165="Qualificado",25%,IF(H165="Demonstração",45%,IF(H165="Proposta",70%,IF(H165="Negociação",85%,IF(H165="Ganho",100%,0%))))))</x:f>
        <x:v>0</x:v>
      </x:c>
      <x:c r="P165" s="46" t="str">
        <x:f>IF(OR(N165="",O165=""),"",N165*O165)</x:f>
      </x:c>
      <x:c r="Q165" s="60"/>
      <x:c r="R165" s="61"/>
      <x:c r="S165" s="61"/>
      <x:c r="T165" s="60"/>
      <x:c r="U165" s="60"/>
      <x:c r="V165" s="60"/>
    </x:row>
    <x:row r="166">
      <x:c r="A166" s="39"/>
      <x:c r="B166" s="56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45"/>
      <x:c r="N166" s="45"/>
      <x:c r="O166" s="50" t="n">
        <x:f>IF(H166="Novo",10%,IF(H166="Qualificado",25%,IF(H166="Demonstração",45%,IF(H166="Proposta",70%,IF(H166="Negociação",85%,IF(H166="Ganho",100%,0%))))))</x:f>
        <x:v>0</x:v>
      </x:c>
      <x:c r="P166" s="46" t="str">
        <x:f>IF(OR(N166="",O166=""),"",N166*O166)</x:f>
      </x:c>
      <x:c r="Q166" s="60"/>
      <x:c r="R166" s="61"/>
      <x:c r="S166" s="61"/>
      <x:c r="T166" s="60"/>
      <x:c r="U166" s="60"/>
      <x:c r="V166" s="60"/>
    </x:row>
    <x:row r="167">
      <x:c r="A167" s="39"/>
      <x:c r="B167" s="56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45"/>
      <x:c r="N167" s="45"/>
      <x:c r="O167" s="50" t="n">
        <x:f>IF(H167="Novo",10%,IF(H167="Qualificado",25%,IF(H167="Demonstração",45%,IF(H167="Proposta",70%,IF(H167="Negociação",85%,IF(H167="Ganho",100%,0%))))))</x:f>
        <x:v>0</x:v>
      </x:c>
      <x:c r="P167" s="46" t="str">
        <x:f>IF(OR(N167="",O167=""),"",N167*O167)</x:f>
      </x:c>
      <x:c r="Q167" s="60"/>
      <x:c r="R167" s="61"/>
      <x:c r="S167" s="61"/>
      <x:c r="T167" s="60"/>
      <x:c r="U167" s="60"/>
      <x:c r="V167" s="60"/>
    </x:row>
    <x:row r="168">
      <x:c r="A168" s="39"/>
      <x:c r="B168" s="56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45"/>
      <x:c r="N168" s="45"/>
      <x:c r="O168" s="50" t="n">
        <x:f>IF(H168="Novo",10%,IF(H168="Qualificado",25%,IF(H168="Demonstração",45%,IF(H168="Proposta",70%,IF(H168="Negociação",85%,IF(H168="Ganho",100%,0%))))))</x:f>
        <x:v>0</x:v>
      </x:c>
      <x:c r="P168" s="46" t="str">
        <x:f>IF(OR(N168="",O168=""),"",N168*O168)</x:f>
      </x:c>
      <x:c r="Q168" s="60"/>
      <x:c r="R168" s="61"/>
      <x:c r="S168" s="61"/>
      <x:c r="T168" s="60"/>
      <x:c r="U168" s="60"/>
      <x:c r="V168" s="60"/>
    </x:row>
    <x:row r="169">
      <x:c r="A169" s="39"/>
      <x:c r="B169" s="56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45"/>
      <x:c r="N169" s="45"/>
      <x:c r="O169" s="50" t="n">
        <x:f>IF(H169="Novo",10%,IF(H169="Qualificado",25%,IF(H169="Demonstração",45%,IF(H169="Proposta",70%,IF(H169="Negociação",85%,IF(H169="Ganho",100%,0%))))))</x:f>
        <x:v>0</x:v>
      </x:c>
      <x:c r="P169" s="46" t="str">
        <x:f>IF(OR(N169="",O169=""),"",N169*O169)</x:f>
      </x:c>
      <x:c r="Q169" s="60"/>
      <x:c r="R169" s="61"/>
      <x:c r="S169" s="61"/>
      <x:c r="T169" s="60"/>
      <x:c r="U169" s="60"/>
      <x:c r="V169" s="60"/>
    </x:row>
    <x:row r="170">
      <x:c r="A170" s="39"/>
      <x:c r="B170" s="56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45"/>
      <x:c r="N170" s="45"/>
      <x:c r="O170" s="50" t="n">
        <x:f>IF(H170="Novo",10%,IF(H170="Qualificado",25%,IF(H170="Demonstração",45%,IF(H170="Proposta",70%,IF(H170="Negociação",85%,IF(H170="Ganho",100%,0%))))))</x:f>
        <x:v>0</x:v>
      </x:c>
      <x:c r="P170" s="46" t="str">
        <x:f>IF(OR(N170="",O170=""),"",N170*O170)</x:f>
      </x:c>
      <x:c r="Q170" s="60"/>
      <x:c r="R170" s="61"/>
      <x:c r="S170" s="61"/>
      <x:c r="T170" s="60"/>
      <x:c r="U170" s="60"/>
      <x:c r="V170" s="60"/>
    </x:row>
    <x:row r="171">
      <x:c r="A171" s="39"/>
      <x:c r="B171" s="56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45"/>
      <x:c r="N171" s="45"/>
      <x:c r="O171" s="50" t="n">
        <x:f>IF(H171="Novo",10%,IF(H171="Qualificado",25%,IF(H171="Demonstração",45%,IF(H171="Proposta",70%,IF(H171="Negociação",85%,IF(H171="Ganho",100%,0%))))))</x:f>
        <x:v>0</x:v>
      </x:c>
      <x:c r="P171" s="46" t="str">
        <x:f>IF(OR(N171="",O171=""),"",N171*O171)</x:f>
      </x:c>
      <x:c r="Q171" s="60"/>
      <x:c r="R171" s="61"/>
      <x:c r="S171" s="61"/>
      <x:c r="T171" s="60"/>
      <x:c r="U171" s="60"/>
      <x:c r="V171" s="60"/>
    </x:row>
    <x:row r="172">
      <x:c r="A172" s="39"/>
      <x:c r="B172" s="56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45"/>
      <x:c r="N172" s="45"/>
      <x:c r="O172" s="50" t="n">
        <x:f>IF(H172="Novo",10%,IF(H172="Qualificado",25%,IF(H172="Demonstração",45%,IF(H172="Proposta",70%,IF(H172="Negociação",85%,IF(H172="Ganho",100%,0%))))))</x:f>
        <x:v>0</x:v>
      </x:c>
      <x:c r="P172" s="46" t="str">
        <x:f>IF(OR(N172="",O172=""),"",N172*O172)</x:f>
      </x:c>
      <x:c r="Q172" s="60"/>
      <x:c r="R172" s="61"/>
      <x:c r="S172" s="61"/>
      <x:c r="T172" s="60"/>
      <x:c r="U172" s="60"/>
      <x:c r="V172" s="60"/>
    </x:row>
    <x:row r="173">
      <x:c r="A173" s="39"/>
      <x:c r="B173" s="56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45"/>
      <x:c r="N173" s="45"/>
      <x:c r="O173" s="50" t="n">
        <x:f>IF(H173="Novo",10%,IF(H173="Qualificado",25%,IF(H173="Demonstração",45%,IF(H173="Proposta",70%,IF(H173="Negociação",85%,IF(H173="Ganho",100%,0%))))))</x:f>
        <x:v>0</x:v>
      </x:c>
      <x:c r="P173" s="46" t="str">
        <x:f>IF(OR(N173="",O173=""),"",N173*O173)</x:f>
      </x:c>
      <x:c r="Q173" s="60"/>
      <x:c r="R173" s="61"/>
      <x:c r="S173" s="61"/>
      <x:c r="T173" s="60"/>
      <x:c r="U173" s="60"/>
      <x:c r="V173" s="60"/>
    </x:row>
    <x:row r="174">
      <x:c r="A174" s="39"/>
      <x:c r="B174" s="56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45"/>
      <x:c r="N174" s="45"/>
      <x:c r="O174" s="50" t="n">
        <x:f>IF(H174="Novo",10%,IF(H174="Qualificado",25%,IF(H174="Demonstração",45%,IF(H174="Proposta",70%,IF(H174="Negociação",85%,IF(H174="Ganho",100%,0%))))))</x:f>
        <x:v>0</x:v>
      </x:c>
      <x:c r="P174" s="46" t="str">
        <x:f>IF(OR(N174="",O174=""),"",N174*O174)</x:f>
      </x:c>
      <x:c r="Q174" s="60"/>
      <x:c r="R174" s="61"/>
      <x:c r="S174" s="61"/>
      <x:c r="T174" s="60"/>
      <x:c r="U174" s="60"/>
      <x:c r="V174" s="60"/>
    </x:row>
    <x:row r="175">
      <x:c r="A175" s="39"/>
      <x:c r="B175" s="56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45"/>
      <x:c r="N175" s="45"/>
      <x:c r="O175" s="50" t="n">
        <x:f>IF(H175="Novo",10%,IF(H175="Qualificado",25%,IF(H175="Demonstração",45%,IF(H175="Proposta",70%,IF(H175="Negociação",85%,IF(H175="Ganho",100%,0%))))))</x:f>
        <x:v>0</x:v>
      </x:c>
      <x:c r="P175" s="46" t="str">
        <x:f>IF(OR(N175="",O175=""),"",N175*O175)</x:f>
      </x:c>
      <x:c r="Q175" s="60"/>
      <x:c r="R175" s="61"/>
      <x:c r="S175" s="61"/>
      <x:c r="T175" s="60"/>
      <x:c r="U175" s="60"/>
      <x:c r="V175" s="60"/>
    </x:row>
    <x:row r="176">
      <x:c r="A176" s="39"/>
      <x:c r="B176" s="56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45"/>
      <x:c r="N176" s="45"/>
      <x:c r="O176" s="50" t="n">
        <x:f>IF(H176="Novo",10%,IF(H176="Qualificado",25%,IF(H176="Demonstração",45%,IF(H176="Proposta",70%,IF(H176="Negociação",85%,IF(H176="Ganho",100%,0%))))))</x:f>
        <x:v>0</x:v>
      </x:c>
      <x:c r="P176" s="46" t="str">
        <x:f>IF(OR(N176="",O176=""),"",N176*O176)</x:f>
      </x:c>
      <x:c r="Q176" s="60"/>
      <x:c r="R176" s="61"/>
      <x:c r="S176" s="61"/>
      <x:c r="T176" s="60"/>
      <x:c r="U176" s="60"/>
      <x:c r="V176" s="60"/>
    </x:row>
    <x:row r="177">
      <x:c r="A177" s="39"/>
      <x:c r="B177" s="56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45"/>
      <x:c r="N177" s="45"/>
      <x:c r="O177" s="50" t="n">
        <x:f>IF(H177="Novo",10%,IF(H177="Qualificado",25%,IF(H177="Demonstração",45%,IF(H177="Proposta",70%,IF(H177="Negociação",85%,IF(H177="Ganho",100%,0%))))))</x:f>
        <x:v>0</x:v>
      </x:c>
      <x:c r="P177" s="46" t="str">
        <x:f>IF(OR(N177="",O177=""),"",N177*O177)</x:f>
      </x:c>
      <x:c r="Q177" s="60"/>
      <x:c r="R177" s="61"/>
      <x:c r="S177" s="61"/>
      <x:c r="T177" s="60"/>
      <x:c r="U177" s="60"/>
      <x:c r="V177" s="60"/>
    </x:row>
    <x:row r="178">
      <x:c r="A178" s="39"/>
      <x:c r="B178" s="56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45"/>
      <x:c r="N178" s="45"/>
      <x:c r="O178" s="50" t="n">
        <x:f>IF(H178="Novo",10%,IF(H178="Qualificado",25%,IF(H178="Demonstração",45%,IF(H178="Proposta",70%,IF(H178="Negociação",85%,IF(H178="Ganho",100%,0%))))))</x:f>
        <x:v>0</x:v>
      </x:c>
      <x:c r="P178" s="46" t="str">
        <x:f>IF(OR(N178="",O178=""),"",N178*O178)</x:f>
      </x:c>
      <x:c r="Q178" s="60"/>
      <x:c r="R178" s="61"/>
      <x:c r="S178" s="61"/>
      <x:c r="T178" s="60"/>
      <x:c r="U178" s="60"/>
      <x:c r="V178" s="60"/>
    </x:row>
    <x:row r="179">
      <x:c r="A179" s="39"/>
      <x:c r="B179" s="56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45"/>
      <x:c r="N179" s="45"/>
      <x:c r="O179" s="50" t="n">
        <x:f>IF(H179="Novo",10%,IF(H179="Qualificado",25%,IF(H179="Demonstração",45%,IF(H179="Proposta",70%,IF(H179="Negociação",85%,IF(H179="Ganho",100%,0%))))))</x:f>
        <x:v>0</x:v>
      </x:c>
      <x:c r="P179" s="46" t="str">
        <x:f>IF(OR(N179="",O179=""),"",N179*O179)</x:f>
      </x:c>
      <x:c r="Q179" s="60"/>
      <x:c r="R179" s="61"/>
      <x:c r="S179" s="61"/>
      <x:c r="T179" s="60"/>
      <x:c r="U179" s="60"/>
      <x:c r="V179" s="60"/>
    </x:row>
    <x:row r="180">
      <x:c r="A180" s="39"/>
      <x:c r="B180" s="56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45"/>
      <x:c r="N180" s="45"/>
      <x:c r="O180" s="50" t="n">
        <x:f>IF(H180="Novo",10%,IF(H180="Qualificado",25%,IF(H180="Demonstração",45%,IF(H180="Proposta",70%,IF(H180="Negociação",85%,IF(H180="Ganho",100%,0%))))))</x:f>
        <x:v>0</x:v>
      </x:c>
      <x:c r="P180" s="46" t="str">
        <x:f>IF(OR(N180="",O180=""),"",N180*O180)</x:f>
      </x:c>
      <x:c r="Q180" s="60"/>
      <x:c r="R180" s="61"/>
      <x:c r="S180" s="61"/>
      <x:c r="T180" s="60"/>
      <x:c r="U180" s="60"/>
      <x:c r="V180" s="60"/>
    </x:row>
    <x:row r="181">
      <x:c r="A181" s="39"/>
      <x:c r="B181" s="56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45"/>
      <x:c r="N181" s="45"/>
      <x:c r="O181" s="50" t="n">
        <x:f>IF(H181="Novo",10%,IF(H181="Qualificado",25%,IF(H181="Demonstração",45%,IF(H181="Proposta",70%,IF(H181="Negociação",85%,IF(H181="Ganho",100%,0%))))))</x:f>
        <x:v>0</x:v>
      </x:c>
      <x:c r="P181" s="46" t="str">
        <x:f>IF(OR(N181="",O181=""),"",N181*O181)</x:f>
      </x:c>
      <x:c r="Q181" s="60"/>
      <x:c r="R181" s="61"/>
      <x:c r="S181" s="61"/>
      <x:c r="T181" s="60"/>
      <x:c r="U181" s="60"/>
      <x:c r="V181" s="60"/>
    </x:row>
    <x:row r="182">
      <x:c r="A182" s="39"/>
      <x:c r="B182" s="56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45"/>
      <x:c r="N182" s="45"/>
      <x:c r="O182" s="50" t="n">
        <x:f>IF(H182="Novo",10%,IF(H182="Qualificado",25%,IF(H182="Demonstração",45%,IF(H182="Proposta",70%,IF(H182="Negociação",85%,IF(H182="Ganho",100%,0%))))))</x:f>
        <x:v>0</x:v>
      </x:c>
      <x:c r="P182" s="46" t="str">
        <x:f>IF(OR(N182="",O182=""),"",N182*O182)</x:f>
      </x:c>
      <x:c r="Q182" s="60"/>
      <x:c r="R182" s="61"/>
      <x:c r="S182" s="61"/>
      <x:c r="T182" s="60"/>
      <x:c r="U182" s="60"/>
      <x:c r="V182" s="60"/>
    </x:row>
    <x:row r="183">
      <x:c r="A183" s="39"/>
      <x:c r="B183" s="56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45"/>
      <x:c r="N183" s="45"/>
      <x:c r="O183" s="50" t="n">
        <x:f>IF(H183="Novo",10%,IF(H183="Qualificado",25%,IF(H183="Demonstração",45%,IF(H183="Proposta",70%,IF(H183="Negociação",85%,IF(H183="Ganho",100%,0%))))))</x:f>
        <x:v>0</x:v>
      </x:c>
      <x:c r="P183" s="46" t="str">
        <x:f>IF(OR(N183="",O183=""),"",N183*O183)</x:f>
      </x:c>
      <x:c r="Q183" s="60"/>
      <x:c r="R183" s="61"/>
      <x:c r="S183" s="61"/>
      <x:c r="T183" s="60"/>
      <x:c r="U183" s="60"/>
      <x:c r="V183" s="60"/>
    </x:row>
    <x:row r="184">
      <x:c r="A184" s="39"/>
      <x:c r="B184" s="56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45"/>
      <x:c r="N184" s="45"/>
      <x:c r="O184" s="50" t="n">
        <x:f>IF(H184="Novo",10%,IF(H184="Qualificado",25%,IF(H184="Demonstração",45%,IF(H184="Proposta",70%,IF(H184="Negociação",85%,IF(H184="Ganho",100%,0%))))))</x:f>
        <x:v>0</x:v>
      </x:c>
      <x:c r="P184" s="46" t="str">
        <x:f>IF(OR(N184="",O184=""),"",N184*O184)</x:f>
      </x:c>
      <x:c r="Q184" s="60"/>
      <x:c r="R184" s="61"/>
      <x:c r="S184" s="61"/>
      <x:c r="T184" s="60"/>
      <x:c r="U184" s="60"/>
      <x:c r="V184" s="60"/>
    </x:row>
    <x:row r="185">
      <x:c r="A185" s="39"/>
      <x:c r="B185" s="56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45"/>
      <x:c r="N185" s="45"/>
      <x:c r="O185" s="50" t="n">
        <x:f>IF(H185="Novo",10%,IF(H185="Qualificado",25%,IF(H185="Demonstração",45%,IF(H185="Proposta",70%,IF(H185="Negociação",85%,IF(H185="Ganho",100%,0%))))))</x:f>
        <x:v>0</x:v>
      </x:c>
      <x:c r="P185" s="46" t="str">
        <x:f>IF(OR(N185="",O185=""),"",N185*O185)</x:f>
      </x:c>
      <x:c r="Q185" s="60"/>
      <x:c r="R185" s="61"/>
      <x:c r="S185" s="61"/>
      <x:c r="T185" s="60"/>
      <x:c r="U185" s="60"/>
      <x:c r="V185" s="60"/>
    </x:row>
    <x:row r="186">
      <x:c r="A186" s="39"/>
      <x:c r="B186" s="56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45"/>
      <x:c r="N186" s="45"/>
      <x:c r="O186" s="50" t="n">
        <x:f>IF(H186="Novo",10%,IF(H186="Qualificado",25%,IF(H186="Demonstração",45%,IF(H186="Proposta",70%,IF(H186="Negociação",85%,IF(H186="Ganho",100%,0%))))))</x:f>
        <x:v>0</x:v>
      </x:c>
      <x:c r="P186" s="46" t="str">
        <x:f>IF(OR(N186="",O186=""),"",N186*O186)</x:f>
      </x:c>
      <x:c r="Q186" s="60"/>
      <x:c r="R186" s="61"/>
      <x:c r="S186" s="61"/>
      <x:c r="T186" s="60"/>
      <x:c r="U186" s="60"/>
      <x:c r="V186" s="60"/>
    </x:row>
    <x:row r="187">
      <x:c r="A187" s="39"/>
      <x:c r="B187" s="56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45"/>
      <x:c r="N187" s="45"/>
      <x:c r="O187" s="50" t="n">
        <x:f>IF(H187="Novo",10%,IF(H187="Qualificado",25%,IF(H187="Demonstração",45%,IF(H187="Proposta",70%,IF(H187="Negociação",85%,IF(H187="Ganho",100%,0%))))))</x:f>
        <x:v>0</x:v>
      </x:c>
      <x:c r="P187" s="46" t="str">
        <x:f>IF(OR(N187="",O187=""),"",N187*O187)</x:f>
      </x:c>
      <x:c r="Q187" s="60"/>
      <x:c r="R187" s="61"/>
      <x:c r="S187" s="61"/>
      <x:c r="T187" s="60"/>
      <x:c r="U187" s="60"/>
      <x:c r="V187" s="60"/>
    </x:row>
    <x:row r="188">
      <x:c r="A188" s="39"/>
      <x:c r="B188" s="56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45"/>
      <x:c r="N188" s="45"/>
      <x:c r="O188" s="50" t="n">
        <x:f>IF(H188="Novo",10%,IF(H188="Qualificado",25%,IF(H188="Demonstração",45%,IF(H188="Proposta",70%,IF(H188="Negociação",85%,IF(H188="Ganho",100%,0%))))))</x:f>
        <x:v>0</x:v>
      </x:c>
      <x:c r="P188" s="46" t="str">
        <x:f>IF(OR(N188="",O188=""),"",N188*O188)</x:f>
      </x:c>
      <x:c r="Q188" s="60"/>
      <x:c r="R188" s="61"/>
      <x:c r="S188" s="61"/>
      <x:c r="T188" s="60"/>
      <x:c r="U188" s="60"/>
      <x:c r="V188" s="60"/>
    </x:row>
    <x:row r="189">
      <x:c r="A189" s="39"/>
      <x:c r="B189" s="56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45"/>
      <x:c r="N189" s="45"/>
      <x:c r="O189" s="50" t="n">
        <x:f>IF(H189="Novo",10%,IF(H189="Qualificado",25%,IF(H189="Demonstração",45%,IF(H189="Proposta",70%,IF(H189="Negociação",85%,IF(H189="Ganho",100%,0%))))))</x:f>
        <x:v>0</x:v>
      </x:c>
      <x:c r="P189" s="46" t="str">
        <x:f>IF(OR(N189="",O189=""),"",N189*O189)</x:f>
      </x:c>
      <x:c r="Q189" s="60"/>
      <x:c r="R189" s="61"/>
      <x:c r="S189" s="61"/>
      <x:c r="T189" s="60"/>
      <x:c r="U189" s="60"/>
      <x:c r="V189" s="60"/>
    </x:row>
    <x:row r="190">
      <x:c r="A190" s="39"/>
      <x:c r="B190" s="56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45"/>
      <x:c r="N190" s="45"/>
      <x:c r="O190" s="50" t="n">
        <x:f>IF(H190="Novo",10%,IF(H190="Qualificado",25%,IF(H190="Demonstração",45%,IF(H190="Proposta",70%,IF(H190="Negociação",85%,IF(H190="Ganho",100%,0%))))))</x:f>
        <x:v>0</x:v>
      </x:c>
      <x:c r="P190" s="46" t="str">
        <x:f>IF(OR(N190="",O190=""),"",N190*O190)</x:f>
      </x:c>
      <x:c r="Q190" s="60"/>
      <x:c r="R190" s="61"/>
      <x:c r="S190" s="61"/>
      <x:c r="T190" s="60"/>
      <x:c r="U190" s="60"/>
      <x:c r="V190" s="60"/>
    </x:row>
    <x:row r="191">
      <x:c r="A191" s="39"/>
      <x:c r="B191" s="56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45"/>
      <x:c r="N191" s="45"/>
      <x:c r="O191" s="50" t="n">
        <x:f>IF(H191="Novo",10%,IF(H191="Qualificado",25%,IF(H191="Demonstração",45%,IF(H191="Proposta",70%,IF(H191="Negociação",85%,IF(H191="Ganho",100%,0%))))))</x:f>
        <x:v>0</x:v>
      </x:c>
      <x:c r="P191" s="46" t="str">
        <x:f>IF(OR(N191="",O191=""),"",N191*O191)</x:f>
      </x:c>
      <x:c r="Q191" s="60"/>
      <x:c r="R191" s="61"/>
      <x:c r="S191" s="61"/>
      <x:c r="T191" s="60"/>
      <x:c r="U191" s="60"/>
      <x:c r="V191" s="60"/>
    </x:row>
    <x:row r="192">
      <x:c r="A192" s="39"/>
      <x:c r="B192" s="56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45"/>
      <x:c r="N192" s="45"/>
      <x:c r="O192" s="50" t="n">
        <x:f>IF(H192="Novo",10%,IF(H192="Qualificado",25%,IF(H192="Demonstração",45%,IF(H192="Proposta",70%,IF(H192="Negociação",85%,IF(H192="Ganho",100%,0%))))))</x:f>
        <x:v>0</x:v>
      </x:c>
      <x:c r="P192" s="46" t="str">
        <x:f>IF(OR(N192="",O192=""),"",N192*O192)</x:f>
      </x:c>
      <x:c r="Q192" s="60"/>
      <x:c r="R192" s="61"/>
      <x:c r="S192" s="61"/>
      <x:c r="T192" s="60"/>
      <x:c r="U192" s="60"/>
      <x:c r="V192" s="60"/>
    </x:row>
    <x:row r="193">
      <x:c r="A193" s="39"/>
      <x:c r="B193" s="56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45"/>
      <x:c r="N193" s="45"/>
      <x:c r="O193" s="50" t="n">
        <x:f>IF(H193="Novo",10%,IF(H193="Qualificado",25%,IF(H193="Demonstração",45%,IF(H193="Proposta",70%,IF(H193="Negociação",85%,IF(H193="Ganho",100%,0%))))))</x:f>
        <x:v>0</x:v>
      </x:c>
      <x:c r="P193" s="46" t="str">
        <x:f>IF(OR(N193="",O193=""),"",N193*O193)</x:f>
      </x:c>
      <x:c r="Q193" s="60"/>
      <x:c r="R193" s="61"/>
      <x:c r="S193" s="61"/>
      <x:c r="T193" s="60"/>
      <x:c r="U193" s="60"/>
      <x:c r="V193" s="60"/>
    </x:row>
    <x:row r="194">
      <x:c r="A194" s="39"/>
      <x:c r="B194" s="56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45"/>
      <x:c r="N194" s="45"/>
      <x:c r="O194" s="50" t="n">
        <x:f>IF(H194="Novo",10%,IF(H194="Qualificado",25%,IF(H194="Demonstração",45%,IF(H194="Proposta",70%,IF(H194="Negociação",85%,IF(H194="Ganho",100%,0%))))))</x:f>
        <x:v>0</x:v>
      </x:c>
      <x:c r="P194" s="46" t="str">
        <x:f>IF(OR(N194="",O194=""),"",N194*O194)</x:f>
      </x:c>
      <x:c r="Q194" s="60"/>
      <x:c r="R194" s="61"/>
      <x:c r="S194" s="61"/>
      <x:c r="T194" s="60"/>
      <x:c r="U194" s="60"/>
      <x:c r="V194" s="60"/>
    </x:row>
    <x:row r="195">
      <x:c r="A195" s="39"/>
      <x:c r="B195" s="56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45"/>
      <x:c r="N195" s="45"/>
      <x:c r="O195" s="50" t="n">
        <x:f>IF(H195="Novo",10%,IF(H195="Qualificado",25%,IF(H195="Demonstração",45%,IF(H195="Proposta",70%,IF(H195="Negociação",85%,IF(H195="Ganho",100%,0%))))))</x:f>
        <x:v>0</x:v>
      </x:c>
      <x:c r="P195" s="46" t="str">
        <x:f>IF(OR(N195="",O195=""),"",N195*O195)</x:f>
      </x:c>
      <x:c r="Q195" s="60"/>
      <x:c r="R195" s="61"/>
      <x:c r="S195" s="61"/>
      <x:c r="T195" s="60"/>
      <x:c r="U195" s="60"/>
      <x:c r="V195" s="60"/>
    </x:row>
    <x:row r="196">
      <x:c r="A196" s="39"/>
      <x:c r="B196" s="56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45"/>
      <x:c r="N196" s="45"/>
      <x:c r="O196" s="50" t="n">
        <x:f>IF(H196="Novo",10%,IF(H196="Qualificado",25%,IF(H196="Demonstração",45%,IF(H196="Proposta",70%,IF(H196="Negociação",85%,IF(H196="Ganho",100%,0%))))))</x:f>
        <x:v>0</x:v>
      </x:c>
      <x:c r="P196" s="46" t="str">
        <x:f>IF(OR(N196="",O196=""),"",N196*O196)</x:f>
      </x:c>
      <x:c r="Q196" s="60"/>
      <x:c r="R196" s="61"/>
      <x:c r="S196" s="61"/>
      <x:c r="T196" s="60"/>
      <x:c r="U196" s="60"/>
      <x:c r="V196" s="60"/>
    </x:row>
    <x:row r="197">
      <x:c r="A197" s="39"/>
      <x:c r="B197" s="56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45"/>
      <x:c r="N197" s="45"/>
      <x:c r="O197" s="50" t="n">
        <x:f>IF(H197="Novo",10%,IF(H197="Qualificado",25%,IF(H197="Demonstração",45%,IF(H197="Proposta",70%,IF(H197="Negociação",85%,IF(H197="Ganho",100%,0%))))))</x:f>
        <x:v>0</x:v>
      </x:c>
      <x:c r="P197" s="46" t="str">
        <x:f>IF(OR(N197="",O197=""),"",N197*O197)</x:f>
      </x:c>
      <x:c r="Q197" s="60"/>
      <x:c r="R197" s="61"/>
      <x:c r="S197" s="61"/>
      <x:c r="T197" s="60"/>
      <x:c r="U197" s="60"/>
      <x:c r="V197" s="60"/>
    </x:row>
    <x:row r="198">
      <x:c r="A198" s="39"/>
      <x:c r="B198" s="56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45"/>
      <x:c r="N198" s="45"/>
      <x:c r="O198" s="50" t="n">
        <x:f>IF(H198="Novo",10%,IF(H198="Qualificado",25%,IF(H198="Demonstração",45%,IF(H198="Proposta",70%,IF(H198="Negociação",85%,IF(H198="Ganho",100%,0%))))))</x:f>
        <x:v>0</x:v>
      </x:c>
      <x:c r="P198" s="46" t="str">
        <x:f>IF(OR(N198="",O198=""),"",N198*O198)</x:f>
      </x:c>
      <x:c r="Q198" s="60"/>
      <x:c r="R198" s="61"/>
      <x:c r="S198" s="61"/>
      <x:c r="T198" s="60"/>
      <x:c r="U198" s="60"/>
      <x:c r="V198" s="60"/>
    </x:row>
    <x:row r="199">
      <x:c r="A199" s="39"/>
      <x:c r="B199" s="56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45"/>
      <x:c r="N199" s="45"/>
      <x:c r="O199" s="50" t="n">
        <x:f>IF(H199="Novo",10%,IF(H199="Qualificado",25%,IF(H199="Demonstração",45%,IF(H199="Proposta",70%,IF(H199="Negociação",85%,IF(H199="Ganho",100%,0%))))))</x:f>
        <x:v>0</x:v>
      </x:c>
      <x:c r="P199" s="46" t="str">
        <x:f>IF(OR(N199="",O199=""),"",N199*O199)</x:f>
      </x:c>
      <x:c r="Q199" s="60"/>
      <x:c r="R199" s="61"/>
      <x:c r="S199" s="61"/>
      <x:c r="T199" s="60"/>
      <x:c r="U199" s="60"/>
      <x:c r="V199" s="60"/>
    </x:row>
    <x:row r="200">
      <x:c r="A200" s="39"/>
      <x:c r="B200" s="56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45"/>
      <x:c r="N200" s="45"/>
      <x:c r="O200" s="50" t="n">
        <x:f>IF(H200="Novo",10%,IF(H200="Qualificado",25%,IF(H200="Demonstração",45%,IF(H200="Proposta",70%,IF(H200="Negociação",85%,IF(H200="Ganho",100%,0%))))))</x:f>
        <x:v>0</x:v>
      </x:c>
      <x:c r="P200" s="46" t="str">
        <x:f>IF(OR(N200="",O200=""),"",N200*O200)</x:f>
      </x:c>
      <x:c r="Q200" s="60"/>
      <x:c r="R200" s="61"/>
      <x:c r="S200" s="61"/>
      <x:c r="T200" s="60"/>
      <x:c r="U200" s="60"/>
      <x:c r="V200" s="60"/>
    </x:row>
    <x:row r="201">
      <x:c r="A201" s="39"/>
      <x:c r="B201" s="56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45"/>
      <x:c r="N201" s="45"/>
      <x:c r="O201" s="50" t="n">
        <x:f>IF(H201="Novo",10%,IF(H201="Qualificado",25%,IF(H201="Demonstração",45%,IF(H201="Proposta",70%,IF(H201="Negociação",85%,IF(H201="Ganho",100%,0%))))))</x:f>
        <x:v>0</x:v>
      </x:c>
      <x:c r="P201" s="46" t="str">
        <x:f>IF(OR(N201="",O201=""),"",N201*O201)</x:f>
      </x:c>
      <x:c r="Q201" s="60"/>
      <x:c r="R201" s="61"/>
      <x:c r="S201" s="61"/>
      <x:c r="T201" s="60"/>
      <x:c r="U201" s="60"/>
      <x:c r="V201" s="60"/>
    </x:row>
    <x:row r="202">
      <x:c r="A202" s="39"/>
      <x:c r="B202" s="56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45"/>
      <x:c r="N202" s="45"/>
      <x:c r="O202" s="50" t="n">
        <x:f>IF(H202="Novo",10%,IF(H202="Qualificado",25%,IF(H202="Demonstração",45%,IF(H202="Proposta",70%,IF(H202="Negociação",85%,IF(H202="Ganho",100%,0%))))))</x:f>
        <x:v>0</x:v>
      </x:c>
      <x:c r="P202" s="46" t="str">
        <x:f>IF(OR(N202="",O202=""),"",N202*O202)</x:f>
      </x:c>
      <x:c r="Q202" s="60"/>
      <x:c r="R202" s="61"/>
      <x:c r="S202" s="61"/>
      <x:c r="T202" s="60"/>
      <x:c r="U202" s="60"/>
      <x:c r="V202" s="60"/>
    </x:row>
    <x:row r="203">
      <x:c r="A203" s="39"/>
      <x:c r="B203" s="56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45"/>
      <x:c r="N203" s="45"/>
      <x:c r="O203" s="50" t="n">
        <x:f>IF(H203="Novo",10%,IF(H203="Qualificado",25%,IF(H203="Demonstração",45%,IF(H203="Proposta",70%,IF(H203="Negociação",85%,IF(H203="Ganho",100%,0%))))))</x:f>
        <x:v>0</x:v>
      </x:c>
      <x:c r="P203" s="46" t="str">
        <x:f>IF(OR(N203="",O203=""),"",N203*O203)</x:f>
      </x:c>
      <x:c r="Q203" s="60"/>
      <x:c r="R203" s="61"/>
      <x:c r="S203" s="61"/>
      <x:c r="T203" s="60"/>
      <x:c r="U203" s="60"/>
      <x:c r="V203" s="60"/>
    </x:row>
    <x:row r="204">
      <x:c r="A204" s="39"/>
      <x:c r="B204" s="56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45"/>
      <x:c r="N204" s="45"/>
      <x:c r="O204" s="50" t="n">
        <x:f>IF(H204="Novo",10%,IF(H204="Qualificado",25%,IF(H204="Demonstração",45%,IF(H204="Proposta",70%,IF(H204="Negociação",85%,IF(H204="Ganho",100%,0%))))))</x:f>
        <x:v>0</x:v>
      </x:c>
      <x:c r="P204" s="46" t="str">
        <x:f>IF(OR(N204="",O204=""),"",N204*O204)</x:f>
      </x:c>
      <x:c r="Q204" s="60"/>
      <x:c r="R204" s="61"/>
      <x:c r="S204" s="61"/>
      <x:c r="T204" s="60"/>
      <x:c r="U204" s="60"/>
      <x:c r="V204" s="60"/>
    </x:row>
    <x:row r="205">
      <x:c r="A205" s="41"/>
      <x:c r="B205" s="57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7"/>
      <x:c r="N205" s="47"/>
      <x:c r="O205" s="51" t="n">
        <x:f>IF(H205="Novo",10%,IF(H205="Qualificado",25%,IF(H205="Demonstração",45%,IF(H205="Proposta",70%,IF(H205="Negociação",85%,IF(H205="Ganho",100%,0%))))))</x:f>
        <x:v>0</x:v>
      </x:c>
      <x:c r="P205" s="48" t="str">
        <x:f>IF(OR(N205="",O205=""),"",N205*O205)</x:f>
      </x:c>
      <x:c r="Q205" s="62"/>
      <x:c r="R205" s="63"/>
      <x:c r="S205" s="63"/>
      <x:c r="T205" s="62"/>
      <x:c r="U205" s="62"/>
      <x:c r="V205" s="62"/>
    </x:row>
  </x:sheetData>
  <x:mergeCells>
    <x:mergeCell ref="A1:V1"/>
    <x:mergeCell ref="A2:V2"/>
  </x:mergeCells>
  <x:conditionalFormatting sqref="H6:H205">
    <x:cfRule type="containsText" dxfId="0" priority="1" operator="containsText" text="Ganho"/>
    <x:cfRule type="containsText" dxfId="1" priority="2" operator="containsText" text="Perdido"/>
  </x:conditionalFormatting>
  <x:conditionalFormatting sqref="R6:R205">
    <x:cfRule type="expression" dxfId="2" priority="3">
      <x:formula>AND($R6&lt;TODAY(),$H6&lt;&gt;"Ganho",$H6&lt;&gt;"Perdido",$R6&lt;&gt;"")</x:formula>
    </x:cfRule>
  </x:conditionalFormatting>
  <x:dataValidations count="4">
    <x:dataValidation type="list" sqref="G6:G205">
      <x:formula1>Listas!$D$2:$D$8</x:formula1>
    </x:dataValidation>
    <x:dataValidation type="list" sqref="H6:H205">
      <x:formula1>Listas!$A$2:$A$8</x:formula1>
    </x:dataValidation>
    <x:dataValidation type="list" sqref="I6:I205">
      <x:formula1>Listas!$C$2:$C$5</x:formula1>
    </x:dataValidation>
    <x:dataValidation type="list" sqref="L6:L205">
      <x:formula1>Listas!$F$2:$F$3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0595fdca0d42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.630000114440918" hidden="0" customWidth="1"/>
    <x:col min="3" max="3" width="19" hidden="0" customWidth="1"/>
    <x:col min="4" max="4" width="19" hidden="0" customWidth="1"/>
    <x:col min="6" max="6" width="5.75" hidden="0" customWidth="1"/>
  </x:cols>
  <x:sheetData>
    <x:row r="1">
      <x:c r="A1" s="6" t="str">
        <x:v>Etapas</x:v>
      </x:c>
      <x:c r="B1" s="7" t="str">
        <x:v>Probabilidade</x:v>
      </x:c>
      <x:c r="C1" s="7" t="str">
        <x:v>Planos</x:v>
      </x:c>
      <x:c r="D1" s="7" t="str">
        <x:v>Origens</x:v>
      </x:c>
      <x:c r="E1" s="7"/>
      <x:c r="F1" s="8" t="str">
        <x:v>Fiscal</x:v>
      </x:c>
    </x:row>
    <x:row r="2">
      <x:c r="A2" s="9" t="str">
        <x:v>Novo</x:v>
      </x:c>
      <x:c r="B2" s="10" t="n">
        <x:v>0.1</x:v>
      </x:c>
      <x:c r="C2" s="11" t="str">
        <x:v>Starter</x:v>
      </x:c>
      <x:c r="D2" s="11" t="str">
        <x:v>Indicação</x:v>
      </x:c>
      <x:c r="E2" s="11"/>
      <x:c r="F2" s="12" t="str">
        <x:v>Sim</x:v>
      </x:c>
    </x:row>
    <x:row r="3">
      <x:c r="A3" s="9" t="str">
        <x:v>Qualificado</x:v>
      </x:c>
      <x:c r="B3" s="10" t="n">
        <x:v>0.25</x:v>
      </x:c>
      <x:c r="C3" s="11" t="str">
        <x:v>Fiscal</x:v>
      </x:c>
      <x:c r="D3" s="11" t="str">
        <x:v>Site</x:v>
      </x:c>
      <x:c r="E3" s="11"/>
      <x:c r="F3" s="12" t="str">
        <x:v>Não</x:v>
      </x:c>
    </x:row>
    <x:row r="4">
      <x:c r="A4" s="9" t="str">
        <x:v>Demonstração</x:v>
      </x:c>
      <x:c r="B4" s="10" t="n">
        <x:v>0.45</x:v>
      </x:c>
      <x:c r="C4" s="11" t="str">
        <x:v>Completo</x:v>
      </x:c>
      <x:c r="D4" s="11" t="str">
        <x:v>Prospecção ativa</x:v>
      </x:c>
      <x:c r="E4" s="11"/>
      <x:c r="F4" s="12"/>
    </x:row>
    <x:row r="5">
      <x:c r="A5" s="9" t="str">
        <x:v>Proposta</x:v>
      </x:c>
      <x:c r="B5" s="10" t="n">
        <x:v>0.7</x:v>
      </x:c>
      <x:c r="C5" s="11" t="str">
        <x:v>A definir</x:v>
      </x:c>
      <x:c r="D5" s="11" t="str">
        <x:v>Evento</x:v>
      </x:c>
      <x:c r="E5" s="11"/>
      <x:c r="F5" s="12"/>
    </x:row>
    <x:row r="6">
      <x:c r="A6" s="9" t="str">
        <x:v>Negociação</x:v>
      </x:c>
      <x:c r="B6" s="10" t="n">
        <x:v>0.85</x:v>
      </x:c>
      <x:c r="C6" s="11"/>
      <x:c r="D6" s="11" t="str">
        <x:v>Parceiro</x:v>
      </x:c>
      <x:c r="E6" s="11"/>
      <x:c r="F6" s="12"/>
    </x:row>
    <x:row r="7">
      <x:c r="A7" s="9" t="str">
        <x:v>Ganho</x:v>
      </x:c>
      <x:c r="B7" s="10" t="n">
        <x:v>1</x:v>
      </x:c>
      <x:c r="C7" s="11"/>
      <x:c r="D7" s="11" t="str">
        <x:v>Cliente atual</x:v>
      </x:c>
      <x:c r="E7" s="11"/>
      <x:c r="F7" s="12"/>
    </x:row>
    <x:row r="8">
      <x:c r="A8" s="9" t="str">
        <x:v>Perdido</x:v>
      </x:c>
      <x:c r="B8" s="10" t="n">
        <x:v>0</x:v>
      </x:c>
      <x:c r="C8" s="11"/>
      <x:c r="D8" s="11" t="str">
        <x:v>Outro</x:v>
      </x:c>
      <x:c r="E8" s="11"/>
      <x:c r="F8" s="12"/>
    </x:row>
    <x:row r="9">
      <x:c r="A9" s="13"/>
      <x:c r="B9" s="14"/>
      <x:c r="C9" s="14"/>
      <x:c r="D9" s="14"/>
      <x:c r="E9" s="14"/>
      <x:c r="F9" s="15"/>
    </x:row>
  </x:sheetData>
  <x:pageMargins left="0.7" right="0.7" top="0.75" bottom="0.75" header="0.3" footer="0.3"/>
</x:worksheet>
</file>